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W_Mass_Balance" sheetId="1" r:id="rId4"/>
  </sheets>
  <definedNames/>
  <calcPr/>
  <extLst>
    <ext uri="GoogleSheetsCustomDataVersion2">
      <go:sheetsCustomData xmlns:go="http://customooxmlschemas.google.com/" r:id="rId5" roundtripDataChecksum="lFzUJ9wu1WPmWAIQp06gtq6fNJR7IVYjKdCs0XtFDQE="/>
    </ext>
  </extLst>
</workbook>
</file>

<file path=xl/sharedStrings.xml><?xml version="1.0" encoding="utf-8"?>
<sst xmlns="http://schemas.openxmlformats.org/spreadsheetml/2006/main" count="147" uniqueCount="97">
  <si>
    <t>MSW Generation and Integrated Mass Balance – Service Area (CEV 431)</t>
  </si>
  <si>
    <t>1. PARAMETERS</t>
  </si>
  <si>
    <t>Parameter</t>
  </si>
  <si>
    <t>Value</t>
  </si>
  <si>
    <t>Unit</t>
  </si>
  <si>
    <t>Description</t>
  </si>
  <si>
    <t>q_MSW (per-capita MSW generation)</t>
  </si>
  <si>
    <t>kg/capita·day</t>
  </si>
  <si>
    <t>RFP Section 5.1 (given)</t>
  </si>
  <si>
    <t>Days per year</t>
  </si>
  <si>
    <t>days/year</t>
  </si>
  <si>
    <t>t/day → t/year conversion (leap years ignored)</t>
  </si>
  <si>
    <t>Minimum landfill diversion</t>
  </si>
  <si>
    <t>% of total MSW</t>
  </si>
  <si>
    <t>RFP Section 5.3 design criterion (checked from the mass balance)</t>
  </si>
  <si>
    <t>2. SUMMARY (service area total, whole design period)</t>
  </si>
  <si>
    <t>Metric</t>
  </si>
  <si>
    <t>Status</t>
  </si>
  <si>
    <t>Total MSW generated</t>
  </si>
  <si>
    <t>t</t>
  </si>
  <si>
    <t>Recovered materials</t>
  </si>
  <si>
    <t>Organic stream</t>
  </si>
  <si>
    <t>Residual waste sent to landfill</t>
  </si>
  <si>
    <t>Landfill diversion</t>
  </si>
  <si>
    <t>% of MSW</t>
  </si>
  <si>
    <t>Average residual to landfill</t>
  </si>
  <si>
    <t>t/day</t>
  </si>
  <si>
    <t>Mass-balance closure (Σ|total − streams|)</t>
  </si>
  <si>
    <t>Rows with efficiency sum &gt; 100 %</t>
  </si>
  <si>
    <t>rows</t>
  </si>
  <si>
    <t>3. POPULATION INPUT  (overwrite the blue cells with your own data – district names and years can be changed too)</t>
  </si>
  <si>
    <t>Year</t>
  </si>
  <si>
    <t>Beykoz</t>
  </si>
  <si>
    <t>Çekmeköy</t>
  </si>
  <si>
    <t>Sancaktepe</t>
  </si>
  <si>
    <t>Şile</t>
  </si>
  <si>
    <t>Sultanbeyli</t>
  </si>
  <si>
    <t>Service area total</t>
  </si>
  <si>
    <t xml:space="preserve">MSW per district (q_MSW × P) </t>
  </si>
  <si>
    <t>4. MSW GENERATION PER DISTRICT   (M = P × q_MSW)</t>
  </si>
  <si>
    <t>MSW generation (kg/day)</t>
  </si>
  <si>
    <t>MSW generation (t/day)</t>
  </si>
  <si>
    <t>MSW generation (t/year)</t>
  </si>
  <si>
    <t>Service area</t>
  </si>
  <si>
    <t>5. WASTE COMPOSITION AND ALLOCATION TO STREAMS  (add new fractions in the blank rows at the bottom of the table)</t>
  </si>
  <si>
    <t>Effective % = RFP % rescaled to 100 % (the RFP list adds up to 100.02 %). Recovery / organic efficiency = share of the fraction sent to that stream; the rest goes to the residual stream (landfill). Efficiencies (light yellow) are PLACEHOLDER assumptions – the RFP only fixes the 50 % minimum diversion.</t>
  </si>
  <si>
    <t>Waste fraction</t>
  </si>
  <si>
    <t>Group</t>
  </si>
  <si>
    <t>% by mass (RFP)</t>
  </si>
  <si>
    <t>Effective % by mass</t>
  </si>
  <si>
    <t>Recovery efficiency (%)</t>
  </si>
  <si>
    <t>Organic-stream efficiency (%)</t>
  </si>
  <si>
    <t>To recovery (% of MSW)</t>
  </si>
  <si>
    <t>To organic stream (% of MSW)</t>
  </si>
  <si>
    <t>To residual (% of MSW)</t>
  </si>
  <si>
    <t>Fraction mass 2030–2054 (t)</t>
  </si>
  <si>
    <t>Recovered (t)</t>
  </si>
  <si>
    <t>Organic stream (t)</t>
  </si>
  <si>
    <t>Residual to landfill (t)</t>
  </si>
  <si>
    <t>% by mass</t>
  </si>
  <si>
    <t>Mass 2030–2054 (t)</t>
  </si>
  <si>
    <t>Paper &amp; cardboard</t>
  </si>
  <si>
    <t>Paper</t>
  </si>
  <si>
    <t>Organic matter</t>
  </si>
  <si>
    <t>Glass</t>
  </si>
  <si>
    <t>PET</t>
  </si>
  <si>
    <t>Plastic</t>
  </si>
  <si>
    <t>Plastic bags</t>
  </si>
  <si>
    <t>Diapers</t>
  </si>
  <si>
    <t>Ferrous metal</t>
  </si>
  <si>
    <t>Other</t>
  </si>
  <si>
    <t>Aluminum</t>
  </si>
  <si>
    <t>Other metals</t>
  </si>
  <si>
    <t>Textile</t>
  </si>
  <si>
    <t>Total</t>
  </si>
  <si>
    <t>Tetra Pak</t>
  </si>
  <si>
    <t>Other combustible</t>
  </si>
  <si>
    <t>Other non-combustible</t>
  </si>
  <si>
    <t>Electrical/electronic waste</t>
  </si>
  <si>
    <t>Diversion (recovery + organic), % of MSW</t>
  </si>
  <si>
    <t>6. INTEGRATED MASS BALANCE PER DISTRICT   (Total MSW = recovery + organic stream + residual to landfill)</t>
  </si>
  <si>
    <t>Recovered materials (t/year)</t>
  </si>
  <si>
    <t>Organic stream (t/year)</t>
  </si>
  <si>
    <t>Residual waste to landfill (t/year)</t>
  </si>
  <si>
    <t>Service-area balance</t>
  </si>
  <si>
    <t>Total MSW (t/yr)</t>
  </si>
  <si>
    <t>Diversion (% of MSW)</t>
  </si>
  <si>
    <t>Closure: total − streams (t)</t>
  </si>
  <si>
    <t>7. WASTE-FRACTION MASSES PER YEAR (t/year) – one table per district and one for the service area   (M_i,y = M_MSW,y × f_i)</t>
  </si>
  <si>
    <t>MSW (t/yr)</t>
  </si>
  <si>
    <t>Sum of fractions (t)</t>
  </si>
  <si>
    <t>Service area (total)</t>
  </si>
  <si>
    <t>8. NOTES</t>
  </si>
  <si>
    <t>1. MSW generation: M = P × q_MSW (1.30 kg/capita·day, RFP 5.1); kg/day → t/day (÷ 1000) → t/year (× days per year, cell B8).</t>
  </si>
  <si>
    <t>2. Composition: RFP Section 5.2 adds up to 100.02 %, so the sheet rescales it to 100 % (column D) and the mass balance closes exactly.</t>
  </si>
  <si>
    <t>3. Recovery and organic-stream efficiencies are PLACEHOLDER assumptions (light yellow). Replace them with referenced values and justify them in the report. Residual = what is not diverted = waste sent to the landfill.</t>
  </si>
  <si>
    <t xml:space="preserve">5. To add composition data, type the new fraction into a blank row of the composition table (columns A, B, C, E, F; up to 20 fractions). Totals, the group summary and all fraction tables pick it up automatically.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</si>
</sst>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"/>
    <numFmt numFmtId="165" formatCode="0.000"/>
    <numFmt numFmtId="166" formatCode="0.0000"/>
    <numFmt numFmtId="167" formatCode="0.0"/>
  </numFmts>
  <fonts count="14">
    <font>
      <sz val="11.0"/>
      <color theme="1"/>
      <name val="Calibri"/>
      <scheme val="minor"/>
    </font>
    <font>
      <b/>
      <sz val="15.0"/>
      <color rgb="FF1B2A41"/>
      <name val="Arial"/>
    </font>
    <font>
      <sz val="10.0"/>
      <color rgb="FF555555"/>
      <name val="Arial"/>
    </font>
    <font>
      <b/>
      <sz val="10.0"/>
      <color theme="1"/>
      <name val="Arial"/>
    </font>
    <font>
      <sz val="10.0"/>
      <color rgb="FF0000FF"/>
      <name val="Arial"/>
    </font>
    <font>
      <color theme="1"/>
      <name val="Calibri"/>
      <scheme val="minor"/>
    </font>
    <font>
      <b/>
      <sz val="10.0"/>
      <color rgb="FF000000"/>
      <name val="Arial"/>
    </font>
    <font/>
    <font>
      <sz val="10.0"/>
      <color theme="1"/>
      <name val="Arial"/>
    </font>
    <font>
      <sz val="9.0"/>
      <color rgb="FF444444"/>
      <name val="Arial"/>
    </font>
    <font>
      <b/>
      <sz val="10.0"/>
      <color rgb="FFFFFFFF"/>
      <name val="Arial"/>
    </font>
    <font>
      <sz val="10.0"/>
      <color rgb="FF000000"/>
      <name val="Arial"/>
    </font>
    <font>
      <sz val="11.0"/>
      <color theme="1"/>
      <name val="Calibri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05A0AE"/>
        <bgColor rgb="FF05A0AE"/>
      </patternFill>
    </fill>
    <fill>
      <patternFill patternType="solid">
        <fgColor rgb="FFEAF1FB"/>
        <bgColor rgb="FFEAF1FB"/>
      </patternFill>
    </fill>
    <fill>
      <patternFill patternType="solid">
        <fgColor rgb="FF04A7A7"/>
        <bgColor rgb="FF04A7A7"/>
      </patternFill>
    </fill>
    <fill>
      <patternFill patternType="solid">
        <fgColor rgb="FFD9E1F2"/>
        <bgColor rgb="FFD9E1F2"/>
      </patternFill>
    </fill>
    <fill>
      <patternFill patternType="solid">
        <fgColor rgb="FF90FFFF"/>
        <bgColor rgb="FF90FFFF"/>
      </patternFill>
    </fill>
    <fill>
      <patternFill patternType="solid">
        <fgColor rgb="FFDBE5F1"/>
        <bgColor rgb="FFDBE5F1"/>
      </patternFill>
    </fill>
    <fill>
      <patternFill patternType="solid">
        <fgColor rgb="FFF2F4F7"/>
        <bgColor rgb="FFF2F4F7"/>
      </patternFill>
    </fill>
    <fill>
      <patternFill patternType="solid">
        <fgColor rgb="FFFFF2CC"/>
        <bgColor rgb="FFFFF2CC"/>
      </patternFill>
    </fill>
  </fills>
  <borders count="11">
    <border/>
    <border>
      <left/>
      <bottom/>
    </border>
    <border>
      <bottom/>
    </border>
    <border>
      <right/>
      <bottom/>
    </border>
    <border>
      <left style="thin">
        <color rgb="FF9AA5B1"/>
      </left>
      <right style="thin">
        <color rgb="FF9AA5B1"/>
      </right>
      <top style="thin">
        <color rgb="FF9AA5B1"/>
      </top>
      <bottom style="thin">
        <color rgb="FF9AA5B1"/>
      </bottom>
    </border>
    <border>
      <left style="thin">
        <color rgb="FF9AA5B1"/>
      </left>
      <top style="thin">
        <color rgb="FF9AA5B1"/>
      </top>
      <bottom style="thin">
        <color rgb="FF9AA5B1"/>
      </bottom>
    </border>
    <border>
      <top style="thin">
        <color rgb="FF9AA5B1"/>
      </top>
      <bottom style="thin">
        <color rgb="FF9AA5B1"/>
      </bottom>
    </border>
    <border>
      <right style="thin">
        <color rgb="FF9AA5B1"/>
      </right>
      <top style="thin">
        <color rgb="FF9AA5B1"/>
      </top>
      <bottom style="thin">
        <color rgb="FF9AA5B1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2" fontId="3" numFmtId="0" xfId="0" applyAlignment="1" applyFill="1" applyFont="1">
      <alignment shrinkToFit="0" vertical="bottom" wrapText="0"/>
    </xf>
    <xf borderId="0" fillId="2" fontId="4" numFmtId="0" xfId="0" applyAlignment="1" applyFill="1" applyFont="1">
      <alignment shrinkToFit="0" vertical="bottom" wrapText="0"/>
    </xf>
    <xf borderId="0" fillId="2" fontId="5" numFmtId="0" xfId="0" applyFill="1" applyFont="1"/>
    <xf borderId="1" fillId="3" fontId="6" numFmtId="0" xfId="0" applyAlignment="1" applyBorder="1" applyFill="1" applyFont="1">
      <alignment horizontal="left" shrinkToFit="0" vertical="center" wrapText="0"/>
    </xf>
    <xf borderId="2" fillId="0" fontId="7" numFmtId="0" xfId="0" applyBorder="1" applyFont="1"/>
    <xf borderId="3" fillId="0" fontId="7" numFmtId="0" xfId="0" applyBorder="1" applyFont="1"/>
    <xf borderId="0" fillId="3" fontId="5" numFmtId="0" xfId="0" applyFill="1" applyFont="1"/>
    <xf borderId="4" fillId="4" fontId="3" numFmtId="0" xfId="0" applyAlignment="1" applyBorder="1" applyFill="1" applyFont="1">
      <alignment horizontal="center" shrinkToFit="0" vertical="center" wrapText="1"/>
    </xf>
    <xf borderId="5" fillId="4" fontId="3" numFmtId="0" xfId="0" applyAlignment="1" applyBorder="1" applyFill="1" applyFont="1">
      <alignment horizontal="center" shrinkToFit="0" vertical="center" wrapText="1"/>
    </xf>
    <xf borderId="6" fillId="0" fontId="7" numFmtId="0" xfId="0" applyBorder="1" applyFont="1"/>
    <xf borderId="7" fillId="0" fontId="7" numFmtId="0" xfId="0" applyBorder="1" applyFont="1"/>
    <xf borderId="0" fillId="4" fontId="5" numFmtId="0" xfId="0" applyFill="1" applyFont="1"/>
    <xf borderId="4" fillId="0" fontId="8" numFmtId="0" xfId="0" applyAlignment="1" applyBorder="1" applyFont="1">
      <alignment horizontal="left" shrinkToFit="0" vertical="center" wrapText="0"/>
    </xf>
    <xf borderId="4" fillId="5" fontId="4" numFmtId="2" xfId="0" applyAlignment="1" applyBorder="1" applyFill="1" applyFont="1" applyNumberFormat="1">
      <alignment horizontal="right" shrinkToFit="0" vertical="center" wrapText="0"/>
    </xf>
    <xf borderId="4" fillId="0" fontId="9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horizontal="left" shrinkToFit="0" vertical="center" wrapText="0"/>
    </xf>
    <xf borderId="4" fillId="5" fontId="4" numFmtId="1" xfId="0" applyAlignment="1" applyBorder="1" applyFill="1" applyFont="1" applyNumberFormat="1">
      <alignment horizontal="right" shrinkToFit="0" vertical="center" wrapText="0"/>
    </xf>
    <xf borderId="4" fillId="5" fontId="4" numFmtId="9" xfId="0" applyAlignment="1" applyBorder="1" applyFill="1" applyFont="1" applyNumberFormat="1">
      <alignment horizontal="right" shrinkToFit="0" vertical="center" wrapText="0"/>
    </xf>
    <xf borderId="8" fillId="3" fontId="6" numFmtId="0" xfId="0" applyAlignment="1" applyBorder="1" applyFill="1" applyFont="1">
      <alignment horizontal="left" shrinkToFit="0" vertical="center" wrapText="0"/>
    </xf>
    <xf borderId="9" fillId="0" fontId="7" numFmtId="0" xfId="0" applyBorder="1" applyFont="1"/>
    <xf borderId="10" fillId="0" fontId="7" numFmtId="0" xfId="0" applyBorder="1" applyFont="1"/>
    <xf borderId="4" fillId="6" fontId="10" numFmtId="0" xfId="0" applyAlignment="1" applyBorder="1" applyFill="1" applyFont="1">
      <alignment horizontal="center" shrinkToFit="0" vertical="center" wrapText="1"/>
    </xf>
    <xf borderId="5" fillId="6" fontId="10" numFmtId="0" xfId="0" applyAlignment="1" applyBorder="1" applyFill="1" applyFont="1">
      <alignment horizontal="center" shrinkToFit="0" vertical="center" wrapText="1"/>
    </xf>
    <xf borderId="4" fillId="0" fontId="8" numFmtId="3" xfId="0" applyAlignment="1" applyBorder="1" applyFont="1" applyNumberFormat="1">
      <alignment horizontal="right" shrinkToFit="0" vertical="center" wrapText="0"/>
    </xf>
    <xf borderId="5" fillId="0" fontId="8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left" shrinkToFit="0" vertical="center" wrapText="0"/>
    </xf>
    <xf borderId="4" fillId="0" fontId="3" numFmtId="3" xfId="0" applyAlignment="1" applyBorder="1" applyFont="1" applyNumberFormat="1">
      <alignment horizontal="right" shrinkToFit="0" vertical="center" wrapText="0"/>
    </xf>
    <xf borderId="4" fillId="0" fontId="3" numFmtId="10" xfId="0" applyAlignment="1" applyBorder="1" applyFont="1" applyNumberFormat="1">
      <alignment horizontal="right" shrinkToFit="0" vertical="center" wrapText="0"/>
    </xf>
    <xf borderId="4" fillId="0" fontId="8" numFmtId="164" xfId="0" applyAlignment="1" applyBorder="1" applyFont="1" applyNumberFormat="1">
      <alignment horizontal="right" shrinkToFit="0" vertical="center" wrapText="0"/>
    </xf>
    <xf borderId="4" fillId="0" fontId="8" numFmtId="165" xfId="0" applyAlignment="1" applyBorder="1" applyFont="1" applyNumberFormat="1">
      <alignment horizontal="right" shrinkToFit="0" vertical="center" wrapText="0"/>
    </xf>
    <xf borderId="4" fillId="0" fontId="8" numFmtId="1" xfId="0" applyAlignment="1" applyBorder="1" applyFont="1" applyNumberFormat="1">
      <alignment horizontal="right" shrinkToFit="0" vertical="center" wrapText="0"/>
    </xf>
    <xf borderId="4" fillId="7" fontId="3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horizontal="left" shrinkToFit="0" vertical="center" wrapText="0"/>
    </xf>
    <xf borderId="4" fillId="8" fontId="11" numFmtId="1" xfId="0" applyAlignment="1" applyBorder="1" applyFill="1" applyFont="1" applyNumberFormat="1">
      <alignment horizontal="center" shrinkToFit="0" vertical="center" wrapText="1"/>
    </xf>
    <xf borderId="0" fillId="0" fontId="12" numFmtId="3" xfId="0" applyAlignment="1" applyFont="1" applyNumberFormat="1">
      <alignment horizontal="right" vertical="bottom"/>
    </xf>
    <xf borderId="4" fillId="9" fontId="12" numFmtId="3" xfId="0" applyAlignment="1" applyBorder="1" applyFill="1" applyFont="1" applyNumberFormat="1">
      <alignment horizontal="right"/>
    </xf>
    <xf borderId="0" fillId="0" fontId="13" numFmtId="3" xfId="0" applyAlignment="1" applyFont="1" applyNumberFormat="1">
      <alignment horizontal="right"/>
    </xf>
    <xf borderId="4" fillId="5" fontId="4" numFmtId="3" xfId="0" applyAlignment="1" applyBorder="1" applyFill="1" applyFont="1" applyNumberFormat="1">
      <alignment horizontal="right" shrinkToFit="0" vertical="center" wrapText="0"/>
    </xf>
    <xf borderId="0" fillId="0" fontId="5" numFmtId="0" xfId="0" applyAlignment="1" applyFont="1">
      <alignment readingOrder="0"/>
    </xf>
    <xf borderId="0" fillId="8" fontId="5" numFmtId="0" xfId="0" applyFill="1" applyFont="1"/>
    <xf borderId="5" fillId="8" fontId="3" numFmtId="0" xfId="0" applyAlignment="1" applyBorder="1" applyFill="1" applyFont="1">
      <alignment horizontal="center" shrinkToFit="0" vertical="center" wrapText="1"/>
    </xf>
    <xf borderId="4" fillId="6" fontId="3" numFmtId="0" xfId="0" applyAlignment="1" applyBorder="1" applyFill="1" applyFont="1">
      <alignment horizontal="center" shrinkToFit="0" vertical="center" wrapText="1"/>
    </xf>
    <xf borderId="0" fillId="6" fontId="5" numFmtId="0" xfId="0" applyFill="1" applyFont="1"/>
    <xf borderId="4" fillId="0" fontId="8" numFmtId="1" xfId="0" applyAlignment="1" applyBorder="1" applyFont="1" applyNumberFormat="1">
      <alignment horizontal="center" shrinkToFit="0" vertical="center" wrapText="1"/>
    </xf>
    <xf borderId="4" fillId="0" fontId="3" numFmtId="164" xfId="0" applyAlignment="1" applyBorder="1" applyFont="1" applyNumberFormat="1">
      <alignment horizontal="right" shrinkToFit="0" vertical="center" wrapText="0"/>
    </xf>
    <xf borderId="4" fillId="0" fontId="8" numFmtId="4" xfId="0" applyAlignment="1" applyBorder="1" applyFont="1" applyNumberFormat="1">
      <alignment horizontal="right" shrinkToFit="0" vertical="center" wrapText="0"/>
    </xf>
    <xf borderId="4" fillId="0" fontId="3" numFmtId="4" xfId="0" applyAlignment="1" applyBorder="1" applyFont="1" applyNumberFormat="1">
      <alignment horizontal="right" shrinkToFit="0" vertical="center" wrapText="0"/>
    </xf>
    <xf borderId="4" fillId="10" fontId="3" numFmtId="0" xfId="0" applyAlignment="1" applyBorder="1" applyFill="1" applyFont="1">
      <alignment horizontal="left" shrinkToFit="0" vertical="center" wrapText="0"/>
    </xf>
    <xf borderId="4" fillId="10" fontId="8" numFmtId="0" xfId="0" applyAlignment="1" applyBorder="1" applyFill="1" applyFont="1">
      <alignment shrinkToFit="0" vertical="bottom" wrapText="0"/>
    </xf>
    <xf borderId="4" fillId="10" fontId="3" numFmtId="3" xfId="0" applyAlignment="1" applyBorder="1" applyFill="1" applyFont="1" applyNumberFormat="1">
      <alignment horizontal="right" shrinkToFit="0" vertical="center" wrapText="0"/>
    </xf>
    <xf borderId="0" fillId="0" fontId="9" numFmtId="0" xfId="0" applyAlignment="1" applyFont="1">
      <alignment horizontal="left" shrinkToFit="0" vertical="center" wrapText="1"/>
    </xf>
    <xf borderId="4" fillId="5" fontId="4" numFmtId="0" xfId="0" applyAlignment="1" applyBorder="1" applyFill="1" applyFont="1">
      <alignment horizontal="left" shrinkToFit="0" vertical="center" wrapText="0"/>
    </xf>
    <xf borderId="4" fillId="0" fontId="8" numFmtId="166" xfId="0" applyAlignment="1" applyBorder="1" applyFont="1" applyNumberFormat="1">
      <alignment horizontal="right" shrinkToFit="0" vertical="center" wrapText="0"/>
    </xf>
    <xf borderId="4" fillId="11" fontId="4" numFmtId="167" xfId="0" applyAlignment="1" applyBorder="1" applyFill="1" applyFont="1" applyNumberFormat="1">
      <alignment horizontal="right" shrinkToFit="0" vertical="center" wrapText="0"/>
    </xf>
    <xf borderId="4" fillId="0" fontId="8" numFmtId="2" xfId="0" applyAlignment="1" applyBorder="1" applyFont="1" applyNumberFormat="1">
      <alignment horizontal="right" shrinkToFit="0" vertical="center" wrapText="0"/>
    </xf>
    <xf borderId="4" fillId="10" fontId="3" numFmtId="2" xfId="0" applyAlignment="1" applyBorder="1" applyFill="1" applyFont="1" applyNumberFormat="1">
      <alignment horizontal="right" shrinkToFit="0" vertical="center" wrapText="0"/>
    </xf>
    <xf borderId="4" fillId="5" fontId="4" numFmtId="167" xfId="0" applyAlignment="1" applyBorder="1" applyFill="1" applyFont="1" applyNumberFormat="1">
      <alignment horizontal="right" shrinkToFit="0" vertical="center" wrapText="0"/>
    </xf>
    <xf borderId="4" fillId="10" fontId="3" numFmtId="166" xfId="0" applyAlignment="1" applyBorder="1" applyFill="1" applyFont="1" applyNumberFormat="1">
      <alignment horizontal="right" shrinkToFit="0" vertical="center" wrapText="0"/>
    </xf>
    <xf borderId="5" fillId="0" fontId="3" numFmtId="0" xfId="0" applyAlignment="1" applyBorder="1" applyFont="1">
      <alignment horizontal="left" shrinkToFit="0" vertical="center" wrapText="0"/>
    </xf>
    <xf borderId="4" fillId="0" fontId="3" numFmtId="2" xfId="0" applyAlignment="1" applyBorder="1" applyFont="1" applyNumberFormat="1">
      <alignment horizontal="right" shrinkToFit="0" vertical="center" wrapText="0"/>
    </xf>
    <xf borderId="4" fillId="10" fontId="3" numFmtId="10" xfId="0" applyAlignment="1" applyBorder="1" applyFill="1" applyFont="1" applyNumberFormat="1">
      <alignment horizontal="right" shrinkToFit="0" vertical="center" wrapText="0"/>
    </xf>
    <xf borderId="4" fillId="10" fontId="3" numFmtId="165" xfId="0" applyAlignment="1" applyBorder="1" applyFill="1" applyFont="1" applyNumberFormat="1">
      <alignment horizontal="right" shrinkToFit="0" vertical="center" wrapText="0"/>
    </xf>
    <xf borderId="5" fillId="6" fontId="3" numFmtId="0" xfId="0" applyAlignment="1" applyBorder="1" applyFill="1" applyFont="1">
      <alignment horizontal="left" shrinkToFit="0" vertical="center" wrapText="0"/>
    </xf>
    <xf borderId="0" fillId="0" fontId="9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34.0"/>
    <col customWidth="1" min="2" max="2" width="16.0"/>
    <col customWidth="1" min="3" max="23" width="13.43"/>
    <col customWidth="1" min="24" max="26" width="8.71"/>
  </cols>
  <sheetData>
    <row r="1" ht="24.0" customHeight="1">
      <c r="A1" s="1" t="s">
        <v>0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>
      <c r="A4" s="5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ht="19.5" customHeight="1">
      <c r="A5" s="6" t="s">
        <v>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8"/>
      <c r="X5" s="9"/>
      <c r="Y5" s="9"/>
      <c r="Z5" s="9"/>
    </row>
    <row r="6" ht="15.0" customHeight="1">
      <c r="A6" s="10" t="s">
        <v>2</v>
      </c>
      <c r="B6" s="10" t="s">
        <v>3</v>
      </c>
      <c r="C6" s="10" t="s">
        <v>4</v>
      </c>
      <c r="D6" s="11" t="s">
        <v>5</v>
      </c>
      <c r="E6" s="12"/>
      <c r="F6" s="12"/>
      <c r="G6" s="12"/>
      <c r="H6" s="12"/>
      <c r="I6" s="12"/>
      <c r="J6" s="12"/>
      <c r="K6" s="13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5" t="s">
        <v>6</v>
      </c>
      <c r="B7" s="16">
        <v>1.3</v>
      </c>
      <c r="C7" s="17" t="s">
        <v>7</v>
      </c>
      <c r="D7" s="18" t="s">
        <v>8</v>
      </c>
      <c r="E7" s="12"/>
      <c r="F7" s="12"/>
      <c r="G7" s="12"/>
      <c r="H7" s="12"/>
      <c r="I7" s="12"/>
      <c r="J7" s="12"/>
      <c r="K7" s="13"/>
    </row>
    <row r="8">
      <c r="A8" s="15" t="s">
        <v>9</v>
      </c>
      <c r="B8" s="19">
        <v>365.0</v>
      </c>
      <c r="C8" s="17" t="s">
        <v>10</v>
      </c>
      <c r="D8" s="18" t="s">
        <v>11</v>
      </c>
      <c r="E8" s="12"/>
      <c r="F8" s="12"/>
      <c r="G8" s="12"/>
      <c r="H8" s="12"/>
      <c r="I8" s="12"/>
      <c r="J8" s="12"/>
      <c r="K8" s="13"/>
    </row>
    <row r="9">
      <c r="A9" s="15" t="s">
        <v>12</v>
      </c>
      <c r="B9" s="20">
        <v>0.5</v>
      </c>
      <c r="C9" s="17" t="s">
        <v>13</v>
      </c>
      <c r="D9" s="18" t="s">
        <v>14</v>
      </c>
      <c r="E9" s="12"/>
      <c r="F9" s="12"/>
      <c r="G9" s="12"/>
      <c r="H9" s="12"/>
      <c r="I9" s="12"/>
      <c r="J9" s="12"/>
      <c r="K9" s="13"/>
    </row>
    <row r="12" ht="19.5" customHeight="1">
      <c r="A12" s="21" t="s">
        <v>15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3"/>
      <c r="X12" s="9"/>
      <c r="Y12" s="9"/>
      <c r="Z12" s="9"/>
    </row>
    <row r="13" ht="15.0" customHeight="1">
      <c r="A13" s="24" t="s">
        <v>16</v>
      </c>
      <c r="B13" s="24" t="s">
        <v>3</v>
      </c>
      <c r="C13" s="24" t="s">
        <v>4</v>
      </c>
      <c r="D13" s="25" t="s">
        <v>17</v>
      </c>
      <c r="E13" s="12"/>
      <c r="F13" s="12"/>
      <c r="G13" s="12"/>
      <c r="H13" s="13"/>
    </row>
    <row r="14">
      <c r="A14" s="15" t="s">
        <v>18</v>
      </c>
      <c r="B14" s="26">
        <f>$S$81</f>
        <v>25385054.31</v>
      </c>
      <c r="C14" s="17" t="s">
        <v>19</v>
      </c>
      <c r="D14" s="27" t="str">
        <f>"Design period "&amp;$A$26&amp;"–"&amp;$A$50</f>
        <v>Design period 2030–2054</v>
      </c>
      <c r="E14" s="12"/>
      <c r="F14" s="12"/>
      <c r="G14" s="12"/>
      <c r="H14" s="13"/>
    </row>
    <row r="15">
      <c r="A15" s="15" t="s">
        <v>20</v>
      </c>
      <c r="B15" s="26">
        <f>$G$139</f>
        <v>5290710.28</v>
      </c>
      <c r="C15" s="17" t="s">
        <v>19</v>
      </c>
      <c r="D15" s="27"/>
      <c r="E15" s="12"/>
      <c r="F15" s="12"/>
      <c r="G15" s="12"/>
      <c r="H15" s="13"/>
    </row>
    <row r="16">
      <c r="A16" s="15" t="s">
        <v>21</v>
      </c>
      <c r="B16" s="26">
        <f>$M$139</f>
        <v>9545663.644</v>
      </c>
      <c r="C16" s="17" t="s">
        <v>19</v>
      </c>
      <c r="D16" s="27"/>
      <c r="E16" s="12"/>
      <c r="F16" s="12"/>
      <c r="G16" s="12"/>
      <c r="H16" s="13"/>
    </row>
    <row r="17">
      <c r="A17" s="28" t="s">
        <v>22</v>
      </c>
      <c r="B17" s="29">
        <f>$S$139</f>
        <v>10548680.39</v>
      </c>
      <c r="C17" s="17" t="s">
        <v>19</v>
      </c>
      <c r="D17" s="27"/>
      <c r="E17" s="12"/>
      <c r="F17" s="12"/>
      <c r="G17" s="12"/>
      <c r="H17" s="13"/>
    </row>
    <row r="18">
      <c r="A18" s="28" t="s">
        <v>23</v>
      </c>
      <c r="B18" s="30">
        <f>$U$139</f>
        <v>0.5844531094</v>
      </c>
      <c r="C18" s="17" t="s">
        <v>24</v>
      </c>
      <c r="D18" s="27" t="str">
        <f>IF(B18&gt;=$B$9,"PASS","FAIL")</f>
        <v>PASS</v>
      </c>
      <c r="E18" s="12"/>
      <c r="F18" s="12"/>
      <c r="G18" s="12"/>
      <c r="H18" s="13"/>
    </row>
    <row r="19">
      <c r="A19" s="15" t="s">
        <v>25</v>
      </c>
      <c r="B19" s="31">
        <f>B17/(COUNT($A$26:$A$50)*$B$8)</f>
        <v>1156.019768</v>
      </c>
      <c r="C19" s="17" t="s">
        <v>26</v>
      </c>
      <c r="D19" s="27"/>
      <c r="E19" s="12"/>
      <c r="F19" s="12"/>
      <c r="G19" s="12"/>
      <c r="H19" s="13"/>
    </row>
    <row r="20">
      <c r="A20" s="15" t="s">
        <v>27</v>
      </c>
      <c r="B20" s="32">
        <f>SUMPRODUCT(ABS($V$114:$V$138))</f>
        <v>0.000000002444721758</v>
      </c>
      <c r="C20" s="17" t="s">
        <v>19</v>
      </c>
      <c r="D20" s="27" t="str">
        <f>IF(B20&lt;0.001,"OK","CHECK")</f>
        <v>OK</v>
      </c>
      <c r="E20" s="12"/>
      <c r="F20" s="12"/>
      <c r="G20" s="12"/>
      <c r="H20" s="13"/>
    </row>
    <row r="21" ht="15.75" customHeight="1">
      <c r="A21" s="15" t="s">
        <v>28</v>
      </c>
      <c r="B21" s="33">
        <f>SUMPRODUCT(($E$87:$E$106+$F$87:$F$106&gt;100)*1)</f>
        <v>0</v>
      </c>
      <c r="C21" s="17" t="s">
        <v>29</v>
      </c>
      <c r="D21" s="27" t="str">
        <f>IF(B21=0,"OK","CHECK")</f>
        <v>OK</v>
      </c>
      <c r="E21" s="12"/>
      <c r="F21" s="12"/>
      <c r="G21" s="12"/>
      <c r="H21" s="13"/>
    </row>
    <row r="22" ht="15.75" customHeight="1"/>
    <row r="23" ht="15.75" customHeight="1"/>
    <row r="24" ht="19.5" customHeight="1">
      <c r="A24" s="21" t="s">
        <v>30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3"/>
      <c r="X24" s="9"/>
      <c r="Y24" s="9"/>
      <c r="Z24" s="9"/>
    </row>
    <row r="25" ht="15.75" customHeight="1">
      <c r="A25" s="24" t="s">
        <v>31</v>
      </c>
      <c r="B25" s="24" t="s">
        <v>32</v>
      </c>
      <c r="C25" s="24" t="s">
        <v>33</v>
      </c>
      <c r="D25" s="24" t="s">
        <v>34</v>
      </c>
      <c r="E25" s="24" t="s">
        <v>35</v>
      </c>
      <c r="F25" s="24" t="s">
        <v>36</v>
      </c>
      <c r="G25" s="34" t="s">
        <v>37</v>
      </c>
      <c r="H25" s="35"/>
      <c r="I25" s="35"/>
      <c r="J25" s="35"/>
      <c r="K25" s="35"/>
      <c r="L25" s="35"/>
      <c r="M25" s="35"/>
    </row>
    <row r="26" ht="15.75" customHeight="1">
      <c r="A26" s="36">
        <v>2030.0</v>
      </c>
      <c r="B26" s="37">
        <v>244867.903227091</v>
      </c>
      <c r="C26" s="37">
        <v>366283.0772417537</v>
      </c>
      <c r="D26" s="38">
        <v>579973.8888888889</v>
      </c>
      <c r="E26" s="37">
        <v>58895.0</v>
      </c>
      <c r="F26" s="39">
        <v>417390.4542284942</v>
      </c>
      <c r="G26" s="26">
        <f t="shared" ref="G26:G50" si="1">SUM(B26:F26)</f>
        <v>1667410.324</v>
      </c>
    </row>
    <row r="27" ht="15.75" customHeight="1">
      <c r="A27" s="36">
        <v>2031.0</v>
      </c>
      <c r="B27" s="37">
        <v>244476.76522533002</v>
      </c>
      <c r="C27" s="37">
        <v>377271.56955900637</v>
      </c>
      <c r="D27" s="38">
        <v>594468.6666666666</v>
      </c>
      <c r="E27" s="37">
        <v>60656.0</v>
      </c>
      <c r="F27" s="39">
        <v>425543.7927615564</v>
      </c>
      <c r="G27" s="26">
        <f t="shared" si="1"/>
        <v>1702416.794</v>
      </c>
    </row>
    <row r="28" ht="15.75" customHeight="1">
      <c r="A28" s="36">
        <v>2032.0</v>
      </c>
      <c r="B28" s="37">
        <v>244086.25200507123</v>
      </c>
      <c r="C28" s="37">
        <v>388589.7166457766</v>
      </c>
      <c r="D28" s="38">
        <v>608963.4444444445</v>
      </c>
      <c r="E28" s="37">
        <v>62417.0</v>
      </c>
      <c r="F28" s="39">
        <v>433856.39926196495</v>
      </c>
      <c r="G28" s="26">
        <f t="shared" si="1"/>
        <v>1737912.812</v>
      </c>
    </row>
    <row r="29" ht="15.75" customHeight="1">
      <c r="A29" s="36">
        <v>2033.0</v>
      </c>
      <c r="B29" s="37">
        <v>243696.3625683244</v>
      </c>
      <c r="C29" s="37">
        <v>400247.4081451499</v>
      </c>
      <c r="D29" s="38">
        <v>623458.2222222222</v>
      </c>
      <c r="E29" s="37">
        <v>64178.0</v>
      </c>
      <c r="F29" s="39">
        <v>442331.3848829387</v>
      </c>
      <c r="G29" s="26">
        <f t="shared" si="1"/>
        <v>1773911.378</v>
      </c>
    </row>
    <row r="30" ht="15.75" customHeight="1">
      <c r="A30" s="36">
        <v>2034.0</v>
      </c>
      <c r="B30" s="37">
        <v>243307.09591869335</v>
      </c>
      <c r="C30" s="37">
        <v>412254.8303895044</v>
      </c>
      <c r="D30" s="38">
        <v>637953.0</v>
      </c>
      <c r="E30" s="37">
        <v>65939.0</v>
      </c>
      <c r="F30" s="39">
        <v>450971.92155121267</v>
      </c>
      <c r="G30" s="26">
        <f t="shared" si="1"/>
        <v>1810425.848</v>
      </c>
    </row>
    <row r="31" ht="15.75" customHeight="1">
      <c r="A31" s="36">
        <v>2035.0</v>
      </c>
      <c r="B31" s="37">
        <v>242918.4510613735</v>
      </c>
      <c r="C31" s="37">
        <v>424622.4753011895</v>
      </c>
      <c r="D31" s="38">
        <v>652447.7777777778</v>
      </c>
      <c r="E31" s="37">
        <v>67700.0</v>
      </c>
      <c r="F31" s="39">
        <v>459781.2431541924</v>
      </c>
      <c r="G31" s="26">
        <f t="shared" si="1"/>
        <v>1847469.947</v>
      </c>
    </row>
    <row r="32" ht="15.75" customHeight="1">
      <c r="A32" s="36">
        <v>2036.0</v>
      </c>
      <c r="B32" s="37">
        <v>242530.42700314932</v>
      </c>
      <c r="C32" s="37">
        <v>437361.1495602252</v>
      </c>
      <c r="D32" s="38">
        <v>666942.5555555555</v>
      </c>
      <c r="E32" s="37">
        <v>69461.0</v>
      </c>
      <c r="F32" s="39">
        <v>468762.6467502989</v>
      </c>
      <c r="G32" s="26">
        <f t="shared" si="1"/>
        <v>1885057.779</v>
      </c>
    </row>
    <row r="33" ht="15.75" customHeight="1">
      <c r="A33" s="36">
        <v>2037.0</v>
      </c>
      <c r="B33" s="37">
        <v>242143.02275239184</v>
      </c>
      <c r="C33" s="37">
        <v>450481.98404703196</v>
      </c>
      <c r="D33" s="38">
        <v>681437.3333333333</v>
      </c>
      <c r="E33" s="37">
        <v>71222.0</v>
      </c>
      <c r="F33" s="39">
        <v>477919.49380295613</v>
      </c>
      <c r="G33" s="26">
        <f t="shared" si="1"/>
        <v>1923203.834</v>
      </c>
    </row>
    <row r="34" ht="15.75" customHeight="1">
      <c r="A34" s="36">
        <v>2038.0</v>
      </c>
      <c r="B34" s="37">
        <v>241756.23731905597</v>
      </c>
      <c r="C34" s="37">
        <v>463996.44356844295</v>
      </c>
      <c r="D34" s="38">
        <v>695932.1111111111</v>
      </c>
      <c r="E34" s="37">
        <v>72983.0</v>
      </c>
      <c r="F34" s="39">
        <v>487255.2114386835</v>
      </c>
      <c r="G34" s="26">
        <f t="shared" si="1"/>
        <v>1961923.003</v>
      </c>
    </row>
    <row r="35" ht="15.75" customHeight="1">
      <c r="A35" s="36">
        <v>2039.0</v>
      </c>
      <c r="B35" s="37">
        <v>241370.06971467813</v>
      </c>
      <c r="C35" s="37">
        <v>477916.3368754963</v>
      </c>
      <c r="D35" s="38">
        <v>710426.8888888889</v>
      </c>
      <c r="E35" s="37">
        <v>74744.0</v>
      </c>
      <c r="F35" s="39">
        <v>496773.2937297643</v>
      </c>
      <c r="G35" s="26">
        <f t="shared" si="1"/>
        <v>2001230.589</v>
      </c>
    </row>
    <row r="36" ht="15.75" customHeight="1">
      <c r="A36" s="36">
        <v>2040.0</v>
      </c>
      <c r="B36" s="37">
        <v>240984.51895237365</v>
      </c>
      <c r="C36" s="37">
        <v>492253.82698176114</v>
      </c>
      <c r="D36" s="38">
        <v>724921.6666666666</v>
      </c>
      <c r="E36" s="37">
        <v>76505.0</v>
      </c>
      <c r="F36" s="39">
        <v>506477.3030019691</v>
      </c>
      <c r="G36" s="26">
        <f t="shared" si="1"/>
        <v>2041142.316</v>
      </c>
    </row>
    <row r="37" ht="15.75" customHeight="1">
      <c r="A37" s="36">
        <v>2041.0</v>
      </c>
      <c r="B37" s="37">
        <v>240599.5840468342</v>
      </c>
      <c r="C37" s="37">
        <v>507021.441791214</v>
      </c>
      <c r="D37" s="38">
        <v>739416.4444444445</v>
      </c>
      <c r="E37" s="37">
        <v>78266.0</v>
      </c>
      <c r="F37" s="39">
        <v>516370.87116782553</v>
      </c>
      <c r="G37" s="26">
        <f t="shared" si="1"/>
        <v>2081674.341</v>
      </c>
    </row>
    <row r="38" ht="15.75" customHeight="1">
      <c r="A38" s="36">
        <v>2042.0</v>
      </c>
      <c r="B38" s="37">
        <v>240215.26401432537</v>
      </c>
      <c r="C38" s="37">
        <v>522232.0850449504</v>
      </c>
      <c r="D38" s="38">
        <v>753911.2222222222</v>
      </c>
      <c r="E38" s="37">
        <v>80027.0</v>
      </c>
      <c r="F38" s="39">
        <v>526457.7010859308</v>
      </c>
      <c r="G38" s="26">
        <f t="shared" si="1"/>
        <v>2122843.272</v>
      </c>
    </row>
    <row r="39" ht="15.75" customHeight="1">
      <c r="A39" s="36">
        <v>2043.0</v>
      </c>
      <c r="B39" s="37">
        <v>239831.55787268415</v>
      </c>
      <c r="C39" s="37">
        <v>537899.047596299</v>
      </c>
      <c r="D39" s="38">
        <v>768406.0</v>
      </c>
      <c r="E39" s="37">
        <v>81788.0</v>
      </c>
      <c r="F39" s="39">
        <v>536741.5679468184</v>
      </c>
      <c r="G39" s="26">
        <f t="shared" si="1"/>
        <v>2164666.173</v>
      </c>
    </row>
    <row r="40" ht="15.75" customHeight="1">
      <c r="A40" s="36">
        <v>2044.0</v>
      </c>
      <c r="B40" s="37">
        <v>239448.46464131624</v>
      </c>
      <c r="C40" s="37">
        <v>554036.0190241879</v>
      </c>
      <c r="D40" s="38">
        <v>782900.7777777778</v>
      </c>
      <c r="E40" s="37">
        <v>83549.0</v>
      </c>
      <c r="F40" s="39">
        <v>547226.3206858961</v>
      </c>
      <c r="G40" s="26">
        <f t="shared" si="1"/>
        <v>2207160.582</v>
      </c>
    </row>
    <row r="41" ht="15.75" customHeight="1">
      <c r="A41" s="36">
        <v>2045.0</v>
      </c>
      <c r="B41" s="37">
        <v>239065.98334119387</v>
      </c>
      <c r="C41" s="37">
        <v>570657.0995949137</v>
      </c>
      <c r="D41" s="38">
        <v>797395.5555555555</v>
      </c>
      <c r="E41" s="37">
        <v>85310.0</v>
      </c>
      <c r="F41" s="39">
        <v>557915.8834239832</v>
      </c>
      <c r="G41" s="26">
        <f t="shared" si="1"/>
        <v>2250344.522</v>
      </c>
    </row>
    <row r="42" ht="15.75" customHeight="1">
      <c r="A42" s="36">
        <v>2046.0</v>
      </c>
      <c r="B42" s="37">
        <v>238684.11299485297</v>
      </c>
      <c r="C42" s="37">
        <v>587776.812582761</v>
      </c>
      <c r="D42" s="40">
        <v>811890.3333333333</v>
      </c>
      <c r="E42" s="37">
        <v>87071.0</v>
      </c>
      <c r="F42" s="39">
        <v>568814.2569359897</v>
      </c>
      <c r="G42" s="26">
        <f t="shared" si="1"/>
        <v>2294236.516</v>
      </c>
    </row>
    <row r="43" ht="15.75" customHeight="1">
      <c r="A43" s="36">
        <v>2047.0</v>
      </c>
      <c r="B43" s="37">
        <v>238302.8526263909</v>
      </c>
      <c r="C43" s="37">
        <v>605410.1169602439</v>
      </c>
      <c r="D43" s="40">
        <v>826385.1111111111</v>
      </c>
      <c r="E43" s="37">
        <v>88832.0</v>
      </c>
      <c r="F43" s="39">
        <v>579925.5201482828</v>
      </c>
      <c r="G43" s="26">
        <f t="shared" si="1"/>
        <v>2338855.601</v>
      </c>
    </row>
    <row r="44" ht="15.75" customHeight="1">
      <c r="A44" s="36">
        <v>2048.0</v>
      </c>
      <c r="B44" s="37">
        <v>237922.2012614638</v>
      </c>
      <c r="C44" s="37">
        <v>623572.4204690512</v>
      </c>
      <c r="D44" s="40">
        <v>840879.8888888889</v>
      </c>
      <c r="E44" s="37">
        <v>90593.0</v>
      </c>
      <c r="F44" s="39">
        <v>591253.8316653033</v>
      </c>
      <c r="G44" s="26">
        <f t="shared" si="1"/>
        <v>2384221.342</v>
      </c>
    </row>
    <row r="45" ht="15.75" customHeight="1">
      <c r="A45" s="36">
        <v>2049.0</v>
      </c>
      <c r="B45" s="37">
        <v>237542.15792728425</v>
      </c>
      <c r="C45" s="37">
        <v>642279.5930831227</v>
      </c>
      <c r="D45" s="40">
        <v>855374.6666666666</v>
      </c>
      <c r="E45" s="37">
        <v>92354.0</v>
      </c>
      <c r="F45" s="39">
        <v>602803.4313260048</v>
      </c>
      <c r="G45" s="26">
        <f t="shared" si="1"/>
        <v>2430353.849</v>
      </c>
    </row>
    <row r="46" ht="15.75" customHeight="1">
      <c r="A46" s="36">
        <v>2050.0</v>
      </c>
      <c r="B46" s="37">
        <v>237162.7216526186</v>
      </c>
      <c r="C46" s="37">
        <v>661547.9808756164</v>
      </c>
      <c r="D46" s="40">
        <v>869869.4444444445</v>
      </c>
      <c r="E46" s="37">
        <v>94115.0</v>
      </c>
      <c r="F46" s="39">
        <v>614578.6417906932</v>
      </c>
      <c r="G46" s="26">
        <f t="shared" si="1"/>
        <v>2477273.789</v>
      </c>
    </row>
    <row r="47" ht="15.75" customHeight="1">
      <c r="A47" s="36">
        <v>2051.0</v>
      </c>
      <c r="B47" s="37">
        <v>236783.89146778474</v>
      </c>
      <c r="C47" s="37">
        <v>681394.420301885</v>
      </c>
      <c r="D47" s="40">
        <v>884364.2222222222</v>
      </c>
      <c r="E47" s="37">
        <v>95876.0</v>
      </c>
      <c r="F47" s="39">
        <v>626583.8701588674</v>
      </c>
      <c r="G47" s="26">
        <f t="shared" si="1"/>
        <v>2525002.404</v>
      </c>
    </row>
    <row r="48" ht="15.75" customHeight="1">
      <c r="A48" s="36">
        <v>2052.0</v>
      </c>
      <c r="B48" s="37">
        <v>236405.66640464932</v>
      </c>
      <c r="C48" s="37">
        <v>701836.2529109416</v>
      </c>
      <c r="D48" s="40">
        <v>898859.0</v>
      </c>
      <c r="E48" s="37">
        <v>97637.0</v>
      </c>
      <c r="F48" s="39">
        <v>638823.6096186608</v>
      </c>
      <c r="G48" s="26">
        <f t="shared" si="1"/>
        <v>2573561.529</v>
      </c>
    </row>
    <row r="49" ht="15.75" customHeight="1">
      <c r="A49" s="36">
        <v>2053.0</v>
      </c>
      <c r="B49" s="37">
        <v>236028.0454966256</v>
      </c>
      <c r="C49" s="37">
        <v>722891.3404982699</v>
      </c>
      <c r="D49" s="40">
        <v>913353.7777777778</v>
      </c>
      <c r="E49" s="37">
        <v>99398.0</v>
      </c>
      <c r="F49" s="39">
        <v>651302.4411285026</v>
      </c>
      <c r="G49" s="26">
        <f t="shared" si="1"/>
        <v>2622973.605</v>
      </c>
    </row>
    <row r="50" ht="15.75" customHeight="1">
      <c r="A50" s="36">
        <v>2054.0</v>
      </c>
      <c r="B50" s="37">
        <v>235651.02777867063</v>
      </c>
      <c r="C50" s="37">
        <v>744578.080713218</v>
      </c>
      <c r="D50" s="40">
        <v>927848.5555555555</v>
      </c>
      <c r="E50" s="37">
        <v>101159.0</v>
      </c>
      <c r="F50" s="39">
        <v>664025.035131631</v>
      </c>
      <c r="G50" s="26">
        <f t="shared" si="1"/>
        <v>2673261.699</v>
      </c>
    </row>
    <row r="51" ht="15.75" customHeight="1"/>
    <row r="52" ht="15.75" customHeight="1">
      <c r="A52" s="41" t="s">
        <v>38</v>
      </c>
    </row>
    <row r="53" ht="19.5" customHeight="1">
      <c r="A53" s="21" t="s">
        <v>39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3"/>
      <c r="X53" s="9"/>
      <c r="Y53" s="9"/>
      <c r="Z53" s="9"/>
    </row>
    <row r="54" ht="15.0" customHeight="1">
      <c r="A54" s="42"/>
      <c r="B54" s="43" t="s">
        <v>40</v>
      </c>
      <c r="C54" s="12"/>
      <c r="D54" s="12"/>
      <c r="E54" s="12"/>
      <c r="F54" s="12"/>
      <c r="G54" s="13"/>
      <c r="H54" s="43" t="s">
        <v>41</v>
      </c>
      <c r="I54" s="12"/>
      <c r="J54" s="12"/>
      <c r="K54" s="12"/>
      <c r="L54" s="12"/>
      <c r="M54" s="13"/>
      <c r="N54" s="43" t="s">
        <v>42</v>
      </c>
      <c r="O54" s="12"/>
      <c r="P54" s="12"/>
      <c r="Q54" s="12"/>
      <c r="R54" s="12"/>
      <c r="S54" s="13"/>
      <c r="T54" s="42"/>
      <c r="U54" s="42"/>
      <c r="V54" s="42"/>
      <c r="W54" s="42"/>
      <c r="X54" s="42"/>
      <c r="Y54" s="42"/>
      <c r="Z54" s="42"/>
    </row>
    <row r="55" ht="15.75" customHeight="1">
      <c r="A55" s="44" t="s">
        <v>31</v>
      </c>
      <c r="B55" s="44" t="str">
        <f t="shared" ref="B55:F55" si="2">B$25</f>
        <v>Beykoz</v>
      </c>
      <c r="C55" s="44" t="str">
        <f t="shared" si="2"/>
        <v>Çekmeköy</v>
      </c>
      <c r="D55" s="44" t="str">
        <f t="shared" si="2"/>
        <v>Sancaktepe</v>
      </c>
      <c r="E55" s="44" t="str">
        <f t="shared" si="2"/>
        <v>Şile</v>
      </c>
      <c r="F55" s="44" t="str">
        <f t="shared" si="2"/>
        <v>Sultanbeyli</v>
      </c>
      <c r="G55" s="44" t="s">
        <v>43</v>
      </c>
      <c r="H55" s="44" t="str">
        <f t="shared" ref="H55:L55" si="3">B$25</f>
        <v>Beykoz</v>
      </c>
      <c r="I55" s="44" t="str">
        <f t="shared" si="3"/>
        <v>Çekmeköy</v>
      </c>
      <c r="J55" s="44" t="str">
        <f t="shared" si="3"/>
        <v>Sancaktepe</v>
      </c>
      <c r="K55" s="44" t="str">
        <f t="shared" si="3"/>
        <v>Şile</v>
      </c>
      <c r="L55" s="44" t="str">
        <f t="shared" si="3"/>
        <v>Sultanbeyli</v>
      </c>
      <c r="M55" s="44" t="s">
        <v>43</v>
      </c>
      <c r="N55" s="44" t="str">
        <f t="shared" ref="N55:R55" si="4">B$25</f>
        <v>Beykoz</v>
      </c>
      <c r="O55" s="44" t="str">
        <f t="shared" si="4"/>
        <v>Çekmeköy</v>
      </c>
      <c r="P55" s="44" t="str">
        <f t="shared" si="4"/>
        <v>Sancaktepe</v>
      </c>
      <c r="Q55" s="44" t="str">
        <f t="shared" si="4"/>
        <v>Şile</v>
      </c>
      <c r="R55" s="44" t="str">
        <f t="shared" si="4"/>
        <v>Sultanbeyli</v>
      </c>
      <c r="S55" s="44" t="s">
        <v>43</v>
      </c>
      <c r="T55" s="45"/>
      <c r="U55" s="45"/>
      <c r="V55" s="45"/>
      <c r="W55" s="45"/>
      <c r="X55" s="45"/>
      <c r="Y55" s="45"/>
      <c r="Z55" s="45"/>
    </row>
    <row r="56" ht="15.75" customHeight="1">
      <c r="A56" s="46">
        <f t="shared" ref="A56:A80" si="8">A26</f>
        <v>2030</v>
      </c>
      <c r="B56" s="31">
        <f t="shared" ref="B56:F56" si="5">B26*$B$7</f>
        <v>318328.2742</v>
      </c>
      <c r="C56" s="31">
        <f t="shared" si="5"/>
        <v>476168.0004</v>
      </c>
      <c r="D56" s="31">
        <f t="shared" si="5"/>
        <v>753966.0556</v>
      </c>
      <c r="E56" s="31">
        <f t="shared" si="5"/>
        <v>76563.5</v>
      </c>
      <c r="F56" s="31">
        <f t="shared" si="5"/>
        <v>542607.5905</v>
      </c>
      <c r="G56" s="47">
        <f t="shared" ref="G56:G80" si="10">SUM(B56:F56)</f>
        <v>2167633.421</v>
      </c>
      <c r="H56" s="48">
        <f t="shared" ref="H56:L56" si="6">B56/1000</f>
        <v>318.3282742</v>
      </c>
      <c r="I56" s="48">
        <f t="shared" si="6"/>
        <v>476.1680004</v>
      </c>
      <c r="J56" s="48">
        <f t="shared" si="6"/>
        <v>753.9660556</v>
      </c>
      <c r="K56" s="48">
        <f t="shared" si="6"/>
        <v>76.5635</v>
      </c>
      <c r="L56" s="48">
        <f t="shared" si="6"/>
        <v>542.6075905</v>
      </c>
      <c r="M56" s="49">
        <f t="shared" ref="M56:M80" si="12">SUM(H56:L56)</f>
        <v>2167.633421</v>
      </c>
      <c r="N56" s="31">
        <f t="shared" ref="N56:R56" si="7">H56*$B$8</f>
        <v>116189.8201</v>
      </c>
      <c r="O56" s="31">
        <f t="shared" si="7"/>
        <v>173801.3202</v>
      </c>
      <c r="P56" s="31">
        <f t="shared" si="7"/>
        <v>275197.6103</v>
      </c>
      <c r="Q56" s="31">
        <f t="shared" si="7"/>
        <v>27945.6775</v>
      </c>
      <c r="R56" s="31">
        <f t="shared" si="7"/>
        <v>198051.7705</v>
      </c>
      <c r="S56" s="47">
        <f t="shared" ref="S56:S80" si="14">SUM(N56:R56)</f>
        <v>791186.1985</v>
      </c>
    </row>
    <row r="57" ht="15.75" customHeight="1">
      <c r="A57" s="46">
        <f t="shared" si="8"/>
        <v>2031</v>
      </c>
      <c r="B57" s="31">
        <f t="shared" ref="B57:F57" si="9">B27*$B$7</f>
        <v>317819.7948</v>
      </c>
      <c r="C57" s="31">
        <f t="shared" si="9"/>
        <v>490453.0404</v>
      </c>
      <c r="D57" s="31">
        <f t="shared" si="9"/>
        <v>772809.2667</v>
      </c>
      <c r="E57" s="31">
        <f t="shared" si="9"/>
        <v>78852.8</v>
      </c>
      <c r="F57" s="31">
        <f t="shared" si="9"/>
        <v>553206.9306</v>
      </c>
      <c r="G57" s="47">
        <f t="shared" si="10"/>
        <v>2213141.832</v>
      </c>
      <c r="H57" s="48">
        <f t="shared" ref="H57:L57" si="11">B57/1000</f>
        <v>317.8197948</v>
      </c>
      <c r="I57" s="48">
        <f t="shared" si="11"/>
        <v>490.4530404</v>
      </c>
      <c r="J57" s="48">
        <f t="shared" si="11"/>
        <v>772.8092667</v>
      </c>
      <c r="K57" s="48">
        <f t="shared" si="11"/>
        <v>78.8528</v>
      </c>
      <c r="L57" s="48">
        <f t="shared" si="11"/>
        <v>553.2069306</v>
      </c>
      <c r="M57" s="49">
        <f t="shared" si="12"/>
        <v>2213.141832</v>
      </c>
      <c r="N57" s="31">
        <f t="shared" ref="N57:R57" si="13">H57*$B$8</f>
        <v>116004.2251</v>
      </c>
      <c r="O57" s="31">
        <f t="shared" si="13"/>
        <v>179015.3598</v>
      </c>
      <c r="P57" s="31">
        <f t="shared" si="13"/>
        <v>282075.3823</v>
      </c>
      <c r="Q57" s="31">
        <f t="shared" si="13"/>
        <v>28781.272</v>
      </c>
      <c r="R57" s="31">
        <f t="shared" si="13"/>
        <v>201920.5297</v>
      </c>
      <c r="S57" s="47">
        <f t="shared" si="14"/>
        <v>807796.7689</v>
      </c>
    </row>
    <row r="58" ht="15.75" customHeight="1">
      <c r="A58" s="46">
        <f t="shared" si="8"/>
        <v>2032</v>
      </c>
      <c r="B58" s="31">
        <f t="shared" ref="B58:F58" si="15">B28*$B$7</f>
        <v>317312.1276</v>
      </c>
      <c r="C58" s="31">
        <f t="shared" si="15"/>
        <v>505166.6316</v>
      </c>
      <c r="D58" s="31">
        <f t="shared" si="15"/>
        <v>791652.4778</v>
      </c>
      <c r="E58" s="31">
        <f t="shared" si="15"/>
        <v>81142.1</v>
      </c>
      <c r="F58" s="31">
        <f t="shared" si="15"/>
        <v>564013.319</v>
      </c>
      <c r="G58" s="47">
        <f t="shared" si="10"/>
        <v>2259286.656</v>
      </c>
      <c r="H58" s="48">
        <f t="shared" ref="H58:L58" si="16">B58/1000</f>
        <v>317.3121276</v>
      </c>
      <c r="I58" s="48">
        <f t="shared" si="16"/>
        <v>505.1666316</v>
      </c>
      <c r="J58" s="48">
        <f t="shared" si="16"/>
        <v>791.6524778</v>
      </c>
      <c r="K58" s="48">
        <f t="shared" si="16"/>
        <v>81.1421</v>
      </c>
      <c r="L58" s="48">
        <f t="shared" si="16"/>
        <v>564.013319</v>
      </c>
      <c r="M58" s="49">
        <f t="shared" si="12"/>
        <v>2259.286656</v>
      </c>
      <c r="N58" s="31">
        <f t="shared" ref="N58:R58" si="17">H58*$B$8</f>
        <v>115818.9266</v>
      </c>
      <c r="O58" s="31">
        <f t="shared" si="17"/>
        <v>184385.8205</v>
      </c>
      <c r="P58" s="31">
        <f t="shared" si="17"/>
        <v>288953.1544</v>
      </c>
      <c r="Q58" s="31">
        <f t="shared" si="17"/>
        <v>29616.8665</v>
      </c>
      <c r="R58" s="31">
        <f t="shared" si="17"/>
        <v>205864.8614</v>
      </c>
      <c r="S58" s="47">
        <f t="shared" si="14"/>
        <v>824639.6295</v>
      </c>
    </row>
    <row r="59" ht="15.75" customHeight="1">
      <c r="A59" s="46">
        <f t="shared" si="8"/>
        <v>2033</v>
      </c>
      <c r="B59" s="31">
        <f t="shared" ref="B59:F59" si="18">B29*$B$7</f>
        <v>316805.2713</v>
      </c>
      <c r="C59" s="31">
        <f t="shared" si="18"/>
        <v>520321.6306</v>
      </c>
      <c r="D59" s="31">
        <f t="shared" si="18"/>
        <v>810495.6889</v>
      </c>
      <c r="E59" s="31">
        <f t="shared" si="18"/>
        <v>83431.4</v>
      </c>
      <c r="F59" s="31">
        <f t="shared" si="18"/>
        <v>575030.8003</v>
      </c>
      <c r="G59" s="47">
        <f t="shared" si="10"/>
        <v>2306084.791</v>
      </c>
      <c r="H59" s="48">
        <f t="shared" ref="H59:L59" si="19">B59/1000</f>
        <v>316.8052713</v>
      </c>
      <c r="I59" s="48">
        <f t="shared" si="19"/>
        <v>520.3216306</v>
      </c>
      <c r="J59" s="48">
        <f t="shared" si="19"/>
        <v>810.4956889</v>
      </c>
      <c r="K59" s="48">
        <f t="shared" si="19"/>
        <v>83.4314</v>
      </c>
      <c r="L59" s="48">
        <f t="shared" si="19"/>
        <v>575.0308003</v>
      </c>
      <c r="M59" s="49">
        <f t="shared" si="12"/>
        <v>2306.084791</v>
      </c>
      <c r="N59" s="31">
        <f t="shared" ref="N59:R59" si="20">H59*$B$8</f>
        <v>115633.924</v>
      </c>
      <c r="O59" s="31">
        <f t="shared" si="20"/>
        <v>189917.3952</v>
      </c>
      <c r="P59" s="31">
        <f t="shared" si="20"/>
        <v>295830.9264</v>
      </c>
      <c r="Q59" s="31">
        <f t="shared" si="20"/>
        <v>30452.461</v>
      </c>
      <c r="R59" s="31">
        <f t="shared" si="20"/>
        <v>209886.2421</v>
      </c>
      <c r="S59" s="47">
        <f t="shared" si="14"/>
        <v>841720.9488</v>
      </c>
    </row>
    <row r="60" ht="15.75" customHeight="1">
      <c r="A60" s="46">
        <f t="shared" si="8"/>
        <v>2034</v>
      </c>
      <c r="B60" s="31">
        <f t="shared" ref="B60:F60" si="21">B30*$B$7</f>
        <v>316299.2247</v>
      </c>
      <c r="C60" s="31">
        <f t="shared" si="21"/>
        <v>535931.2795</v>
      </c>
      <c r="D60" s="31">
        <f t="shared" si="21"/>
        <v>829338.9</v>
      </c>
      <c r="E60" s="31">
        <f t="shared" si="21"/>
        <v>85720.7</v>
      </c>
      <c r="F60" s="31">
        <f t="shared" si="21"/>
        <v>586263.498</v>
      </c>
      <c r="G60" s="47">
        <f t="shared" si="10"/>
        <v>2353553.602</v>
      </c>
      <c r="H60" s="48">
        <f t="shared" ref="H60:L60" si="22">B60/1000</f>
        <v>316.2992247</v>
      </c>
      <c r="I60" s="48">
        <f t="shared" si="22"/>
        <v>535.9312795</v>
      </c>
      <c r="J60" s="48">
        <f t="shared" si="22"/>
        <v>829.3389</v>
      </c>
      <c r="K60" s="48">
        <f t="shared" si="22"/>
        <v>85.7207</v>
      </c>
      <c r="L60" s="48">
        <f t="shared" si="22"/>
        <v>586.263498</v>
      </c>
      <c r="M60" s="49">
        <f t="shared" si="12"/>
        <v>2353.553602</v>
      </c>
      <c r="N60" s="31">
        <f t="shared" ref="N60:R60" si="23">H60*$B$8</f>
        <v>115449.217</v>
      </c>
      <c r="O60" s="31">
        <f t="shared" si="23"/>
        <v>195614.917</v>
      </c>
      <c r="P60" s="31">
        <f t="shared" si="23"/>
        <v>302708.6985</v>
      </c>
      <c r="Q60" s="31">
        <f t="shared" si="23"/>
        <v>31288.0555</v>
      </c>
      <c r="R60" s="31">
        <f t="shared" si="23"/>
        <v>213986.1768</v>
      </c>
      <c r="S60" s="47">
        <f t="shared" si="14"/>
        <v>859047.0648</v>
      </c>
    </row>
    <row r="61" ht="15.75" customHeight="1">
      <c r="A61" s="46">
        <f t="shared" si="8"/>
        <v>2035</v>
      </c>
      <c r="B61" s="31">
        <f t="shared" ref="B61:F61" si="24">B31*$B$7</f>
        <v>315793.9864</v>
      </c>
      <c r="C61" s="31">
        <f t="shared" si="24"/>
        <v>552009.2179</v>
      </c>
      <c r="D61" s="31">
        <f t="shared" si="24"/>
        <v>848182.1111</v>
      </c>
      <c r="E61" s="31">
        <f t="shared" si="24"/>
        <v>88010</v>
      </c>
      <c r="F61" s="31">
        <f t="shared" si="24"/>
        <v>597715.6161</v>
      </c>
      <c r="G61" s="47">
        <f t="shared" si="10"/>
        <v>2401710.931</v>
      </c>
      <c r="H61" s="48">
        <f t="shared" ref="H61:L61" si="25">B61/1000</f>
        <v>315.7939864</v>
      </c>
      <c r="I61" s="48">
        <f t="shared" si="25"/>
        <v>552.0092179</v>
      </c>
      <c r="J61" s="48">
        <f t="shared" si="25"/>
        <v>848.1821111</v>
      </c>
      <c r="K61" s="48">
        <f t="shared" si="25"/>
        <v>88.01</v>
      </c>
      <c r="L61" s="48">
        <f t="shared" si="25"/>
        <v>597.7156161</v>
      </c>
      <c r="M61" s="49">
        <f t="shared" si="12"/>
        <v>2401.710931</v>
      </c>
      <c r="N61" s="31">
        <f t="shared" ref="N61:R61" si="26">H61*$B$8</f>
        <v>115264.805</v>
      </c>
      <c r="O61" s="31">
        <f t="shared" si="26"/>
        <v>201483.3645</v>
      </c>
      <c r="P61" s="31">
        <f t="shared" si="26"/>
        <v>309586.4706</v>
      </c>
      <c r="Q61" s="31">
        <f t="shared" si="26"/>
        <v>32123.65</v>
      </c>
      <c r="R61" s="31">
        <f t="shared" si="26"/>
        <v>218166.1999</v>
      </c>
      <c r="S61" s="47">
        <f t="shared" si="14"/>
        <v>876624.49</v>
      </c>
    </row>
    <row r="62" ht="15.75" customHeight="1">
      <c r="A62" s="46">
        <f t="shared" si="8"/>
        <v>2036</v>
      </c>
      <c r="B62" s="31">
        <f t="shared" ref="B62:F62" si="27">B32*$B$7</f>
        <v>315289.5551</v>
      </c>
      <c r="C62" s="31">
        <f t="shared" si="27"/>
        <v>568569.4944</v>
      </c>
      <c r="D62" s="31">
        <f t="shared" si="27"/>
        <v>867025.3222</v>
      </c>
      <c r="E62" s="31">
        <f t="shared" si="27"/>
        <v>90299.3</v>
      </c>
      <c r="F62" s="31">
        <f t="shared" si="27"/>
        <v>609391.4408</v>
      </c>
      <c r="G62" s="47">
        <f t="shared" si="10"/>
        <v>2450575.113</v>
      </c>
      <c r="H62" s="48">
        <f t="shared" ref="H62:L62" si="28">B62/1000</f>
        <v>315.2895551</v>
      </c>
      <c r="I62" s="48">
        <f t="shared" si="28"/>
        <v>568.5694944</v>
      </c>
      <c r="J62" s="48">
        <f t="shared" si="28"/>
        <v>867.0253222</v>
      </c>
      <c r="K62" s="48">
        <f t="shared" si="28"/>
        <v>90.2993</v>
      </c>
      <c r="L62" s="48">
        <f t="shared" si="28"/>
        <v>609.3914408</v>
      </c>
      <c r="M62" s="49">
        <f t="shared" si="12"/>
        <v>2450.575113</v>
      </c>
      <c r="N62" s="31">
        <f t="shared" ref="N62:R62" si="29">H62*$B$8</f>
        <v>115080.6876</v>
      </c>
      <c r="O62" s="31">
        <f t="shared" si="29"/>
        <v>207527.8655</v>
      </c>
      <c r="P62" s="31">
        <f t="shared" si="29"/>
        <v>316464.2426</v>
      </c>
      <c r="Q62" s="31">
        <f t="shared" si="29"/>
        <v>32959.2445</v>
      </c>
      <c r="R62" s="31">
        <f t="shared" si="29"/>
        <v>222427.8759</v>
      </c>
      <c r="S62" s="47">
        <f t="shared" si="14"/>
        <v>894459.9161</v>
      </c>
    </row>
    <row r="63" ht="15.75" customHeight="1">
      <c r="A63" s="46">
        <f t="shared" si="8"/>
        <v>2037</v>
      </c>
      <c r="B63" s="31">
        <f t="shared" ref="B63:F63" si="30">B33*$B$7</f>
        <v>314785.9296</v>
      </c>
      <c r="C63" s="31">
        <f t="shared" si="30"/>
        <v>585626.5793</v>
      </c>
      <c r="D63" s="31">
        <f t="shared" si="30"/>
        <v>885868.5333</v>
      </c>
      <c r="E63" s="31">
        <f t="shared" si="30"/>
        <v>92588.6</v>
      </c>
      <c r="F63" s="31">
        <f t="shared" si="30"/>
        <v>621295.3419</v>
      </c>
      <c r="G63" s="47">
        <f t="shared" si="10"/>
        <v>2500164.984</v>
      </c>
      <c r="H63" s="48">
        <f t="shared" ref="H63:L63" si="31">B63/1000</f>
        <v>314.7859296</v>
      </c>
      <c r="I63" s="48">
        <f t="shared" si="31"/>
        <v>585.6265793</v>
      </c>
      <c r="J63" s="48">
        <f t="shared" si="31"/>
        <v>885.8685333</v>
      </c>
      <c r="K63" s="48">
        <f t="shared" si="31"/>
        <v>92.5886</v>
      </c>
      <c r="L63" s="48">
        <f t="shared" si="31"/>
        <v>621.2953419</v>
      </c>
      <c r="M63" s="49">
        <f t="shared" si="12"/>
        <v>2500.164984</v>
      </c>
      <c r="N63" s="31">
        <f t="shared" ref="N63:R63" si="32">H63*$B$8</f>
        <v>114896.8643</v>
      </c>
      <c r="O63" s="31">
        <f t="shared" si="32"/>
        <v>213753.7014</v>
      </c>
      <c r="P63" s="31">
        <f t="shared" si="32"/>
        <v>323342.0147</v>
      </c>
      <c r="Q63" s="31">
        <f t="shared" si="32"/>
        <v>33794.839</v>
      </c>
      <c r="R63" s="31">
        <f t="shared" si="32"/>
        <v>226772.7998</v>
      </c>
      <c r="S63" s="47">
        <f t="shared" si="14"/>
        <v>912560.2192</v>
      </c>
    </row>
    <row r="64" ht="15.75" customHeight="1">
      <c r="A64" s="46">
        <f t="shared" si="8"/>
        <v>2038</v>
      </c>
      <c r="B64" s="31">
        <f t="shared" ref="B64:F64" si="33">B34*$B$7</f>
        <v>314283.1085</v>
      </c>
      <c r="C64" s="31">
        <f t="shared" si="33"/>
        <v>603195.3766</v>
      </c>
      <c r="D64" s="31">
        <f t="shared" si="33"/>
        <v>904711.7444</v>
      </c>
      <c r="E64" s="31">
        <f t="shared" si="33"/>
        <v>94877.9</v>
      </c>
      <c r="F64" s="31">
        <f t="shared" si="33"/>
        <v>633431.7749</v>
      </c>
      <c r="G64" s="47">
        <f t="shared" si="10"/>
        <v>2550499.904</v>
      </c>
      <c r="H64" s="48">
        <f t="shared" ref="H64:L64" si="34">B64/1000</f>
        <v>314.2831085</v>
      </c>
      <c r="I64" s="48">
        <f t="shared" si="34"/>
        <v>603.1953766</v>
      </c>
      <c r="J64" s="48">
        <f t="shared" si="34"/>
        <v>904.7117444</v>
      </c>
      <c r="K64" s="48">
        <f t="shared" si="34"/>
        <v>94.8779</v>
      </c>
      <c r="L64" s="48">
        <f t="shared" si="34"/>
        <v>633.4317749</v>
      </c>
      <c r="M64" s="49">
        <f t="shared" si="12"/>
        <v>2550.499904</v>
      </c>
      <c r="N64" s="31">
        <f t="shared" ref="N64:R64" si="35">H64*$B$8</f>
        <v>114713.3346</v>
      </c>
      <c r="O64" s="31">
        <f t="shared" si="35"/>
        <v>220166.3125</v>
      </c>
      <c r="P64" s="31">
        <f t="shared" si="35"/>
        <v>330219.7867</v>
      </c>
      <c r="Q64" s="31">
        <f t="shared" si="35"/>
        <v>34630.4335</v>
      </c>
      <c r="R64" s="31">
        <f t="shared" si="35"/>
        <v>231202.5978</v>
      </c>
      <c r="S64" s="47">
        <f t="shared" si="14"/>
        <v>930932.4651</v>
      </c>
    </row>
    <row r="65" ht="15.75" customHeight="1">
      <c r="A65" s="46">
        <f t="shared" si="8"/>
        <v>2039</v>
      </c>
      <c r="B65" s="31">
        <f t="shared" ref="B65:F65" si="36">B35*$B$7</f>
        <v>313781.0906</v>
      </c>
      <c r="C65" s="31">
        <f t="shared" si="36"/>
        <v>621291.2379</v>
      </c>
      <c r="D65" s="31">
        <f t="shared" si="36"/>
        <v>923554.9556</v>
      </c>
      <c r="E65" s="31">
        <f t="shared" si="36"/>
        <v>97167.2</v>
      </c>
      <c r="F65" s="31">
        <f t="shared" si="36"/>
        <v>645805.2818</v>
      </c>
      <c r="G65" s="47">
        <f t="shared" si="10"/>
        <v>2601599.766</v>
      </c>
      <c r="H65" s="48">
        <f t="shared" ref="H65:L65" si="37">B65/1000</f>
        <v>313.7810906</v>
      </c>
      <c r="I65" s="48">
        <f t="shared" si="37"/>
        <v>621.2912379</v>
      </c>
      <c r="J65" s="48">
        <f t="shared" si="37"/>
        <v>923.5549556</v>
      </c>
      <c r="K65" s="48">
        <f t="shared" si="37"/>
        <v>97.1672</v>
      </c>
      <c r="L65" s="48">
        <f t="shared" si="37"/>
        <v>645.8052818</v>
      </c>
      <c r="M65" s="49">
        <f t="shared" si="12"/>
        <v>2601.599766</v>
      </c>
      <c r="N65" s="31">
        <f t="shared" ref="N65:R65" si="38">H65*$B$8</f>
        <v>114530.0981</v>
      </c>
      <c r="O65" s="31">
        <f t="shared" si="38"/>
        <v>226771.3018</v>
      </c>
      <c r="P65" s="31">
        <f t="shared" si="38"/>
        <v>337097.5588</v>
      </c>
      <c r="Q65" s="31">
        <f t="shared" si="38"/>
        <v>35466.028</v>
      </c>
      <c r="R65" s="31">
        <f t="shared" si="38"/>
        <v>235718.9279</v>
      </c>
      <c r="S65" s="47">
        <f t="shared" si="14"/>
        <v>949583.9146</v>
      </c>
    </row>
    <row r="66" ht="15.75" customHeight="1">
      <c r="A66" s="46">
        <f t="shared" si="8"/>
        <v>2040</v>
      </c>
      <c r="B66" s="31">
        <f t="shared" ref="B66:F66" si="39">B36*$B$7</f>
        <v>313279.8746</v>
      </c>
      <c r="C66" s="31">
        <f t="shared" si="39"/>
        <v>639929.9751</v>
      </c>
      <c r="D66" s="31">
        <f t="shared" si="39"/>
        <v>942398.1667</v>
      </c>
      <c r="E66" s="31">
        <f t="shared" si="39"/>
        <v>99456.5</v>
      </c>
      <c r="F66" s="31">
        <f t="shared" si="39"/>
        <v>658420.4939</v>
      </c>
      <c r="G66" s="47">
        <f t="shared" si="10"/>
        <v>2653485.01</v>
      </c>
      <c r="H66" s="48">
        <f t="shared" ref="H66:L66" si="40">B66/1000</f>
        <v>313.2798746</v>
      </c>
      <c r="I66" s="48">
        <f t="shared" si="40"/>
        <v>639.9299751</v>
      </c>
      <c r="J66" s="48">
        <f t="shared" si="40"/>
        <v>942.3981667</v>
      </c>
      <c r="K66" s="48">
        <f t="shared" si="40"/>
        <v>99.4565</v>
      </c>
      <c r="L66" s="48">
        <f t="shared" si="40"/>
        <v>658.4204939</v>
      </c>
      <c r="M66" s="49">
        <f t="shared" si="12"/>
        <v>2653.48501</v>
      </c>
      <c r="N66" s="31">
        <f t="shared" ref="N66:R66" si="41">H66*$B$8</f>
        <v>114347.1542</v>
      </c>
      <c r="O66" s="31">
        <f t="shared" si="41"/>
        <v>233574.4409</v>
      </c>
      <c r="P66" s="31">
        <f t="shared" si="41"/>
        <v>343975.3308</v>
      </c>
      <c r="Q66" s="31">
        <f t="shared" si="41"/>
        <v>36301.6225</v>
      </c>
      <c r="R66" s="31">
        <f t="shared" si="41"/>
        <v>240323.4803</v>
      </c>
      <c r="S66" s="47">
        <f t="shared" si="14"/>
        <v>968522.0288</v>
      </c>
    </row>
    <row r="67" ht="15.75" customHeight="1">
      <c r="A67" s="46">
        <f t="shared" si="8"/>
        <v>2041</v>
      </c>
      <c r="B67" s="31">
        <f t="shared" ref="B67:F67" si="42">B37*$B$7</f>
        <v>312779.4593</v>
      </c>
      <c r="C67" s="31">
        <f t="shared" si="42"/>
        <v>659127.8743</v>
      </c>
      <c r="D67" s="31">
        <f t="shared" si="42"/>
        <v>961241.3778</v>
      </c>
      <c r="E67" s="31">
        <f t="shared" si="42"/>
        <v>101745.8</v>
      </c>
      <c r="F67" s="31">
        <f t="shared" si="42"/>
        <v>671282.1325</v>
      </c>
      <c r="G67" s="47">
        <f t="shared" si="10"/>
        <v>2706176.644</v>
      </c>
      <c r="H67" s="48">
        <f t="shared" ref="H67:L67" si="43">B67/1000</f>
        <v>312.7794593</v>
      </c>
      <c r="I67" s="48">
        <f t="shared" si="43"/>
        <v>659.1278743</v>
      </c>
      <c r="J67" s="48">
        <f t="shared" si="43"/>
        <v>961.2413778</v>
      </c>
      <c r="K67" s="48">
        <f t="shared" si="43"/>
        <v>101.7458</v>
      </c>
      <c r="L67" s="48">
        <f t="shared" si="43"/>
        <v>671.2821325</v>
      </c>
      <c r="M67" s="49">
        <f t="shared" si="12"/>
        <v>2706.176644</v>
      </c>
      <c r="N67" s="31">
        <f t="shared" ref="N67:R67" si="44">H67*$B$8</f>
        <v>114164.5026</v>
      </c>
      <c r="O67" s="31">
        <f t="shared" si="44"/>
        <v>240581.6741</v>
      </c>
      <c r="P67" s="31">
        <f t="shared" si="44"/>
        <v>350853.1029</v>
      </c>
      <c r="Q67" s="31">
        <f t="shared" si="44"/>
        <v>37137.217</v>
      </c>
      <c r="R67" s="31">
        <f t="shared" si="44"/>
        <v>245017.9784</v>
      </c>
      <c r="S67" s="47">
        <f t="shared" si="14"/>
        <v>987754.475</v>
      </c>
    </row>
    <row r="68" ht="15.75" customHeight="1">
      <c r="A68" s="46">
        <f t="shared" si="8"/>
        <v>2042</v>
      </c>
      <c r="B68" s="31">
        <f t="shared" ref="B68:F68" si="45">B38*$B$7</f>
        <v>312279.8432</v>
      </c>
      <c r="C68" s="31">
        <f t="shared" si="45"/>
        <v>678901.7106</v>
      </c>
      <c r="D68" s="31">
        <f t="shared" si="45"/>
        <v>980084.5889</v>
      </c>
      <c r="E68" s="31">
        <f t="shared" si="45"/>
        <v>104035.1</v>
      </c>
      <c r="F68" s="31">
        <f t="shared" si="45"/>
        <v>684395.0114</v>
      </c>
      <c r="G68" s="47">
        <f t="shared" si="10"/>
        <v>2759696.254</v>
      </c>
      <c r="H68" s="48">
        <f t="shared" ref="H68:L68" si="46">B68/1000</f>
        <v>312.2798432</v>
      </c>
      <c r="I68" s="48">
        <f t="shared" si="46"/>
        <v>678.9017106</v>
      </c>
      <c r="J68" s="48">
        <f t="shared" si="46"/>
        <v>980.0845889</v>
      </c>
      <c r="K68" s="48">
        <f t="shared" si="46"/>
        <v>104.0351</v>
      </c>
      <c r="L68" s="48">
        <f t="shared" si="46"/>
        <v>684.3950114</v>
      </c>
      <c r="M68" s="49">
        <f t="shared" si="12"/>
        <v>2759.696254</v>
      </c>
      <c r="N68" s="31">
        <f t="shared" ref="N68:R68" si="47">H68*$B$8</f>
        <v>113982.1428</v>
      </c>
      <c r="O68" s="31">
        <f t="shared" si="47"/>
        <v>247799.1244</v>
      </c>
      <c r="P68" s="31">
        <f t="shared" si="47"/>
        <v>357730.8749</v>
      </c>
      <c r="Q68" s="31">
        <f t="shared" si="47"/>
        <v>37972.8115</v>
      </c>
      <c r="R68" s="31">
        <f t="shared" si="47"/>
        <v>249804.1792</v>
      </c>
      <c r="S68" s="47">
        <f t="shared" si="14"/>
        <v>1007289.133</v>
      </c>
    </row>
    <row r="69" ht="15.75" customHeight="1">
      <c r="A69" s="46">
        <f t="shared" si="8"/>
        <v>2043</v>
      </c>
      <c r="B69" s="31">
        <f t="shared" ref="B69:F69" si="48">B39*$B$7</f>
        <v>311781.0252</v>
      </c>
      <c r="C69" s="31">
        <f t="shared" si="48"/>
        <v>699268.7619</v>
      </c>
      <c r="D69" s="31">
        <f t="shared" si="48"/>
        <v>998927.8</v>
      </c>
      <c r="E69" s="31">
        <f t="shared" si="48"/>
        <v>106324.4</v>
      </c>
      <c r="F69" s="31">
        <f t="shared" si="48"/>
        <v>697764.0383</v>
      </c>
      <c r="G69" s="47">
        <f t="shared" si="10"/>
        <v>2814066.025</v>
      </c>
      <c r="H69" s="48">
        <f t="shared" ref="H69:L69" si="49">B69/1000</f>
        <v>311.7810252</v>
      </c>
      <c r="I69" s="48">
        <f t="shared" si="49"/>
        <v>699.2687619</v>
      </c>
      <c r="J69" s="48">
        <f t="shared" si="49"/>
        <v>998.9278</v>
      </c>
      <c r="K69" s="48">
        <f t="shared" si="49"/>
        <v>106.3244</v>
      </c>
      <c r="L69" s="48">
        <f t="shared" si="49"/>
        <v>697.7640383</v>
      </c>
      <c r="M69" s="49">
        <f t="shared" si="12"/>
        <v>2814.066025</v>
      </c>
      <c r="N69" s="31">
        <f t="shared" ref="N69:R69" si="50">H69*$B$8</f>
        <v>113800.0742</v>
      </c>
      <c r="O69" s="31">
        <f t="shared" si="50"/>
        <v>255233.0981</v>
      </c>
      <c r="P69" s="31">
        <f t="shared" si="50"/>
        <v>364608.647</v>
      </c>
      <c r="Q69" s="31">
        <f t="shared" si="50"/>
        <v>38808.406</v>
      </c>
      <c r="R69" s="31">
        <f t="shared" si="50"/>
        <v>254683.874</v>
      </c>
      <c r="S69" s="47">
        <f t="shared" si="14"/>
        <v>1027134.099</v>
      </c>
    </row>
    <row r="70" ht="15.75" customHeight="1">
      <c r="A70" s="46">
        <f t="shared" si="8"/>
        <v>2044</v>
      </c>
      <c r="B70" s="31">
        <f t="shared" ref="B70:F70" si="51">B40*$B$7</f>
        <v>311283.004</v>
      </c>
      <c r="C70" s="31">
        <f t="shared" si="51"/>
        <v>720246.8247</v>
      </c>
      <c r="D70" s="31">
        <f t="shared" si="51"/>
        <v>1017771.011</v>
      </c>
      <c r="E70" s="31">
        <f t="shared" si="51"/>
        <v>108613.7</v>
      </c>
      <c r="F70" s="31">
        <f t="shared" si="51"/>
        <v>711394.2169</v>
      </c>
      <c r="G70" s="47">
        <f t="shared" si="10"/>
        <v>2869308.757</v>
      </c>
      <c r="H70" s="48">
        <f t="shared" ref="H70:L70" si="52">B70/1000</f>
        <v>311.283004</v>
      </c>
      <c r="I70" s="48">
        <f t="shared" si="52"/>
        <v>720.2468247</v>
      </c>
      <c r="J70" s="48">
        <f t="shared" si="52"/>
        <v>1017.771011</v>
      </c>
      <c r="K70" s="48">
        <f t="shared" si="52"/>
        <v>108.6137</v>
      </c>
      <c r="L70" s="48">
        <f t="shared" si="52"/>
        <v>711.3942169</v>
      </c>
      <c r="M70" s="49">
        <f t="shared" si="12"/>
        <v>2869.308757</v>
      </c>
      <c r="N70" s="31">
        <f t="shared" ref="N70:R70" si="53">H70*$B$8</f>
        <v>113618.2965</v>
      </c>
      <c r="O70" s="31">
        <f t="shared" si="53"/>
        <v>262890.091</v>
      </c>
      <c r="P70" s="31">
        <f t="shared" si="53"/>
        <v>371486.4191</v>
      </c>
      <c r="Q70" s="31">
        <f t="shared" si="53"/>
        <v>39644.0005</v>
      </c>
      <c r="R70" s="31">
        <f t="shared" si="53"/>
        <v>259658.8892</v>
      </c>
      <c r="S70" s="47">
        <f t="shared" si="14"/>
        <v>1047297.696</v>
      </c>
    </row>
    <row r="71" ht="15.75" customHeight="1">
      <c r="A71" s="46">
        <f t="shared" si="8"/>
        <v>2045</v>
      </c>
      <c r="B71" s="31">
        <f t="shared" ref="B71:F71" si="54">B41*$B$7</f>
        <v>310785.7783</v>
      </c>
      <c r="C71" s="31">
        <f t="shared" si="54"/>
        <v>741854.2295</v>
      </c>
      <c r="D71" s="31">
        <f t="shared" si="54"/>
        <v>1036614.222</v>
      </c>
      <c r="E71" s="31">
        <f t="shared" si="54"/>
        <v>110903</v>
      </c>
      <c r="F71" s="31">
        <f t="shared" si="54"/>
        <v>725290.6485</v>
      </c>
      <c r="G71" s="47">
        <f t="shared" si="10"/>
        <v>2925447.878</v>
      </c>
      <c r="H71" s="48">
        <f t="shared" ref="H71:L71" si="55">B71/1000</f>
        <v>310.7857783</v>
      </c>
      <c r="I71" s="48">
        <f t="shared" si="55"/>
        <v>741.8542295</v>
      </c>
      <c r="J71" s="48">
        <f t="shared" si="55"/>
        <v>1036.614222</v>
      </c>
      <c r="K71" s="48">
        <f t="shared" si="55"/>
        <v>110.903</v>
      </c>
      <c r="L71" s="48">
        <f t="shared" si="55"/>
        <v>725.2906485</v>
      </c>
      <c r="M71" s="49">
        <f t="shared" si="12"/>
        <v>2925.447878</v>
      </c>
      <c r="N71" s="31">
        <f t="shared" ref="N71:R71" si="56">H71*$B$8</f>
        <v>113436.8091</v>
      </c>
      <c r="O71" s="31">
        <f t="shared" si="56"/>
        <v>270776.7938</v>
      </c>
      <c r="P71" s="31">
        <f t="shared" si="56"/>
        <v>378364.1911</v>
      </c>
      <c r="Q71" s="31">
        <f t="shared" si="56"/>
        <v>40479.595</v>
      </c>
      <c r="R71" s="31">
        <f t="shared" si="56"/>
        <v>264731.0867</v>
      </c>
      <c r="S71" s="47">
        <f t="shared" si="14"/>
        <v>1067788.476</v>
      </c>
    </row>
    <row r="72" ht="15.75" customHeight="1">
      <c r="A72" s="46">
        <f t="shared" si="8"/>
        <v>2046</v>
      </c>
      <c r="B72" s="31">
        <f t="shared" ref="B72:F72" si="57">B42*$B$7</f>
        <v>310289.3469</v>
      </c>
      <c r="C72" s="31">
        <f t="shared" si="57"/>
        <v>764109.8564</v>
      </c>
      <c r="D72" s="31">
        <f t="shared" si="57"/>
        <v>1055457.433</v>
      </c>
      <c r="E72" s="31">
        <f t="shared" si="57"/>
        <v>113192.3</v>
      </c>
      <c r="F72" s="31">
        <f t="shared" si="57"/>
        <v>739458.534</v>
      </c>
      <c r="G72" s="47">
        <f t="shared" si="10"/>
        <v>2982507.471</v>
      </c>
      <c r="H72" s="48">
        <f t="shared" ref="H72:L72" si="58">B72/1000</f>
        <v>310.2893469</v>
      </c>
      <c r="I72" s="48">
        <f t="shared" si="58"/>
        <v>764.1098564</v>
      </c>
      <c r="J72" s="48">
        <f t="shared" si="58"/>
        <v>1055.457433</v>
      </c>
      <c r="K72" s="48">
        <f t="shared" si="58"/>
        <v>113.1923</v>
      </c>
      <c r="L72" s="48">
        <f t="shared" si="58"/>
        <v>739.458534</v>
      </c>
      <c r="M72" s="49">
        <f t="shared" si="12"/>
        <v>2982.507471</v>
      </c>
      <c r="N72" s="31">
        <f t="shared" ref="N72:R72" si="59">H72*$B$8</f>
        <v>113255.6116</v>
      </c>
      <c r="O72" s="31">
        <f t="shared" si="59"/>
        <v>278900.0976</v>
      </c>
      <c r="P72" s="31">
        <f t="shared" si="59"/>
        <v>385241.9632</v>
      </c>
      <c r="Q72" s="31">
        <f t="shared" si="59"/>
        <v>41315.1895</v>
      </c>
      <c r="R72" s="31">
        <f t="shared" si="59"/>
        <v>269902.3649</v>
      </c>
      <c r="S72" s="47">
        <f t="shared" si="14"/>
        <v>1088615.227</v>
      </c>
    </row>
    <row r="73" ht="15.75" customHeight="1">
      <c r="A73" s="46">
        <f t="shared" si="8"/>
        <v>2047</v>
      </c>
      <c r="B73" s="31">
        <f t="shared" ref="B73:F73" si="60">B43*$B$7</f>
        <v>309793.7084</v>
      </c>
      <c r="C73" s="31">
        <f t="shared" si="60"/>
        <v>787033.152</v>
      </c>
      <c r="D73" s="31">
        <f t="shared" si="60"/>
        <v>1074300.644</v>
      </c>
      <c r="E73" s="31">
        <f t="shared" si="60"/>
        <v>115481.6</v>
      </c>
      <c r="F73" s="31">
        <f t="shared" si="60"/>
        <v>753903.1762</v>
      </c>
      <c r="G73" s="47">
        <f t="shared" si="10"/>
        <v>3040512.281</v>
      </c>
      <c r="H73" s="48">
        <f t="shared" ref="H73:L73" si="61">B73/1000</f>
        <v>309.7937084</v>
      </c>
      <c r="I73" s="48">
        <f t="shared" si="61"/>
        <v>787.033152</v>
      </c>
      <c r="J73" s="48">
        <f t="shared" si="61"/>
        <v>1074.300644</v>
      </c>
      <c r="K73" s="48">
        <f t="shared" si="61"/>
        <v>115.4816</v>
      </c>
      <c r="L73" s="48">
        <f t="shared" si="61"/>
        <v>753.9031762</v>
      </c>
      <c r="M73" s="49">
        <f t="shared" si="12"/>
        <v>3040.512281</v>
      </c>
      <c r="N73" s="31">
        <f t="shared" ref="N73:R73" si="62">H73*$B$8</f>
        <v>113074.7036</v>
      </c>
      <c r="O73" s="31">
        <f t="shared" si="62"/>
        <v>287267.1005</v>
      </c>
      <c r="P73" s="31">
        <f t="shared" si="62"/>
        <v>392119.7352</v>
      </c>
      <c r="Q73" s="31">
        <f t="shared" si="62"/>
        <v>42150.784</v>
      </c>
      <c r="R73" s="31">
        <f t="shared" si="62"/>
        <v>275174.6593</v>
      </c>
      <c r="S73" s="47">
        <f t="shared" si="14"/>
        <v>1109786.983</v>
      </c>
    </row>
    <row r="74" ht="15.75" customHeight="1">
      <c r="A74" s="46">
        <f t="shared" si="8"/>
        <v>2048</v>
      </c>
      <c r="B74" s="31">
        <f t="shared" ref="B74:F74" si="63">B44*$B$7</f>
        <v>309298.8616</v>
      </c>
      <c r="C74" s="31">
        <f t="shared" si="63"/>
        <v>810644.1466</v>
      </c>
      <c r="D74" s="31">
        <f t="shared" si="63"/>
        <v>1093143.856</v>
      </c>
      <c r="E74" s="31">
        <f t="shared" si="63"/>
        <v>117770.9</v>
      </c>
      <c r="F74" s="31">
        <f t="shared" si="63"/>
        <v>768629.9812</v>
      </c>
      <c r="G74" s="47">
        <f t="shared" si="10"/>
        <v>3099487.745</v>
      </c>
      <c r="H74" s="48">
        <f t="shared" ref="H74:L74" si="64">B74/1000</f>
        <v>309.2988616</v>
      </c>
      <c r="I74" s="48">
        <f t="shared" si="64"/>
        <v>810.6441466</v>
      </c>
      <c r="J74" s="48">
        <f t="shared" si="64"/>
        <v>1093.143856</v>
      </c>
      <c r="K74" s="48">
        <f t="shared" si="64"/>
        <v>117.7709</v>
      </c>
      <c r="L74" s="48">
        <f t="shared" si="64"/>
        <v>768.6299812</v>
      </c>
      <c r="M74" s="49">
        <f t="shared" si="12"/>
        <v>3099.487745</v>
      </c>
      <c r="N74" s="31">
        <f t="shared" ref="N74:R74" si="65">H74*$B$8</f>
        <v>112894.0845</v>
      </c>
      <c r="O74" s="31">
        <f t="shared" si="65"/>
        <v>295885.1135</v>
      </c>
      <c r="P74" s="31">
        <f t="shared" si="65"/>
        <v>398997.5073</v>
      </c>
      <c r="Q74" s="31">
        <f t="shared" si="65"/>
        <v>42986.3785</v>
      </c>
      <c r="R74" s="31">
        <f t="shared" si="65"/>
        <v>280549.9431</v>
      </c>
      <c r="S74" s="47">
        <f t="shared" si="14"/>
        <v>1131313.027</v>
      </c>
    </row>
    <row r="75" ht="15.75" customHeight="1">
      <c r="A75" s="46">
        <f t="shared" si="8"/>
        <v>2049</v>
      </c>
      <c r="B75" s="31">
        <f t="shared" ref="B75:F75" si="66">B45*$B$7</f>
        <v>308804.8053</v>
      </c>
      <c r="C75" s="31">
        <f t="shared" si="66"/>
        <v>834963.471</v>
      </c>
      <c r="D75" s="31">
        <f t="shared" si="66"/>
        <v>1111987.067</v>
      </c>
      <c r="E75" s="31">
        <f t="shared" si="66"/>
        <v>120060.2</v>
      </c>
      <c r="F75" s="31">
        <f t="shared" si="66"/>
        <v>783644.4607</v>
      </c>
      <c r="G75" s="47">
        <f t="shared" si="10"/>
        <v>3159460.004</v>
      </c>
      <c r="H75" s="48">
        <f t="shared" ref="H75:L75" si="67">B75/1000</f>
        <v>308.8048053</v>
      </c>
      <c r="I75" s="48">
        <f t="shared" si="67"/>
        <v>834.963471</v>
      </c>
      <c r="J75" s="48">
        <f t="shared" si="67"/>
        <v>1111.987067</v>
      </c>
      <c r="K75" s="48">
        <f t="shared" si="67"/>
        <v>120.0602</v>
      </c>
      <c r="L75" s="48">
        <f t="shared" si="67"/>
        <v>783.6444607</v>
      </c>
      <c r="M75" s="49">
        <f t="shared" si="12"/>
        <v>3159.460004</v>
      </c>
      <c r="N75" s="31">
        <f t="shared" ref="N75:R75" si="68">H75*$B$8</f>
        <v>112713.7539</v>
      </c>
      <c r="O75" s="31">
        <f t="shared" si="68"/>
        <v>304761.6669</v>
      </c>
      <c r="P75" s="31">
        <f t="shared" si="68"/>
        <v>405875.2793</v>
      </c>
      <c r="Q75" s="31">
        <f t="shared" si="68"/>
        <v>43821.973</v>
      </c>
      <c r="R75" s="31">
        <f t="shared" si="68"/>
        <v>286030.2282</v>
      </c>
      <c r="S75" s="47">
        <f t="shared" si="14"/>
        <v>1153202.901</v>
      </c>
    </row>
    <row r="76" ht="15.75" customHeight="1">
      <c r="A76" s="46">
        <f t="shared" si="8"/>
        <v>2050</v>
      </c>
      <c r="B76" s="31">
        <f t="shared" ref="B76:F76" si="69">B46*$B$7</f>
        <v>308311.5381</v>
      </c>
      <c r="C76" s="31">
        <f t="shared" si="69"/>
        <v>860012.3751</v>
      </c>
      <c r="D76" s="31">
        <f t="shared" si="69"/>
        <v>1130830.278</v>
      </c>
      <c r="E76" s="31">
        <f t="shared" si="69"/>
        <v>122349.5</v>
      </c>
      <c r="F76" s="31">
        <f t="shared" si="69"/>
        <v>798952.2343</v>
      </c>
      <c r="G76" s="47">
        <f t="shared" si="10"/>
        <v>3220455.925</v>
      </c>
      <c r="H76" s="48">
        <f t="shared" ref="H76:L76" si="70">B76/1000</f>
        <v>308.3115381</v>
      </c>
      <c r="I76" s="48">
        <f t="shared" si="70"/>
        <v>860.0123751</v>
      </c>
      <c r="J76" s="48">
        <f t="shared" si="70"/>
        <v>1130.830278</v>
      </c>
      <c r="K76" s="48">
        <f t="shared" si="70"/>
        <v>122.3495</v>
      </c>
      <c r="L76" s="48">
        <f t="shared" si="70"/>
        <v>798.9522343</v>
      </c>
      <c r="M76" s="49">
        <f t="shared" si="12"/>
        <v>3220.455925</v>
      </c>
      <c r="N76" s="31">
        <f t="shared" ref="N76:R76" si="71">H76*$B$8</f>
        <v>112533.7114</v>
      </c>
      <c r="O76" s="31">
        <f t="shared" si="71"/>
        <v>313904.5169</v>
      </c>
      <c r="P76" s="31">
        <f t="shared" si="71"/>
        <v>412753.0514</v>
      </c>
      <c r="Q76" s="31">
        <f t="shared" si="71"/>
        <v>44657.5675</v>
      </c>
      <c r="R76" s="31">
        <f t="shared" si="71"/>
        <v>291617.5655</v>
      </c>
      <c r="S76" s="47">
        <f t="shared" si="14"/>
        <v>1175466.413</v>
      </c>
    </row>
    <row r="77" ht="15.75" customHeight="1">
      <c r="A77" s="46">
        <f t="shared" si="8"/>
        <v>2051</v>
      </c>
      <c r="B77" s="31">
        <f t="shared" ref="B77:F77" si="72">B47*$B$7</f>
        <v>307819.0589</v>
      </c>
      <c r="C77" s="31">
        <f t="shared" si="72"/>
        <v>885812.7464</v>
      </c>
      <c r="D77" s="31">
        <f t="shared" si="72"/>
        <v>1149673.489</v>
      </c>
      <c r="E77" s="31">
        <f t="shared" si="72"/>
        <v>124638.8</v>
      </c>
      <c r="F77" s="31">
        <f t="shared" si="72"/>
        <v>814559.0312</v>
      </c>
      <c r="G77" s="47">
        <f t="shared" si="10"/>
        <v>3282503.125</v>
      </c>
      <c r="H77" s="48">
        <f t="shared" ref="H77:L77" si="73">B77/1000</f>
        <v>307.8190589</v>
      </c>
      <c r="I77" s="48">
        <f t="shared" si="73"/>
        <v>885.8127464</v>
      </c>
      <c r="J77" s="48">
        <f t="shared" si="73"/>
        <v>1149.673489</v>
      </c>
      <c r="K77" s="48">
        <f t="shared" si="73"/>
        <v>124.6388</v>
      </c>
      <c r="L77" s="48">
        <f t="shared" si="73"/>
        <v>814.5590312</v>
      </c>
      <c r="M77" s="49">
        <f t="shared" si="12"/>
        <v>3282.503125</v>
      </c>
      <c r="N77" s="31">
        <f t="shared" ref="N77:R77" si="74">H77*$B$8</f>
        <v>112353.9565</v>
      </c>
      <c r="O77" s="31">
        <f t="shared" si="74"/>
        <v>323321.6524</v>
      </c>
      <c r="P77" s="31">
        <f t="shared" si="74"/>
        <v>419630.8234</v>
      </c>
      <c r="Q77" s="31">
        <f t="shared" si="74"/>
        <v>45493.162</v>
      </c>
      <c r="R77" s="31">
        <f t="shared" si="74"/>
        <v>297314.0464</v>
      </c>
      <c r="S77" s="47">
        <f t="shared" si="14"/>
        <v>1198113.641</v>
      </c>
    </row>
    <row r="78" ht="15.75" customHeight="1">
      <c r="A78" s="46">
        <f t="shared" si="8"/>
        <v>2052</v>
      </c>
      <c r="B78" s="31">
        <f t="shared" ref="B78:F78" si="75">B48*$B$7</f>
        <v>307327.3663</v>
      </c>
      <c r="C78" s="31">
        <f t="shared" si="75"/>
        <v>912387.1288</v>
      </c>
      <c r="D78" s="31">
        <f t="shared" si="75"/>
        <v>1168516.7</v>
      </c>
      <c r="E78" s="31">
        <f t="shared" si="75"/>
        <v>126928.1</v>
      </c>
      <c r="F78" s="31">
        <f t="shared" si="75"/>
        <v>830470.6925</v>
      </c>
      <c r="G78" s="47">
        <f t="shared" si="10"/>
        <v>3345629.988</v>
      </c>
      <c r="H78" s="48">
        <f t="shared" ref="H78:L78" si="76">B78/1000</f>
        <v>307.3273663</v>
      </c>
      <c r="I78" s="48">
        <f t="shared" si="76"/>
        <v>912.3871288</v>
      </c>
      <c r="J78" s="48">
        <f t="shared" si="76"/>
        <v>1168.5167</v>
      </c>
      <c r="K78" s="48">
        <f t="shared" si="76"/>
        <v>126.9281</v>
      </c>
      <c r="L78" s="48">
        <f t="shared" si="76"/>
        <v>830.4706925</v>
      </c>
      <c r="M78" s="49">
        <f t="shared" si="12"/>
        <v>3345.629988</v>
      </c>
      <c r="N78" s="31">
        <f t="shared" ref="N78:R78" si="77">H78*$B$8</f>
        <v>112174.4887</v>
      </c>
      <c r="O78" s="31">
        <f t="shared" si="77"/>
        <v>333021.302</v>
      </c>
      <c r="P78" s="31">
        <f t="shared" si="77"/>
        <v>426508.5955</v>
      </c>
      <c r="Q78" s="31">
        <f t="shared" si="77"/>
        <v>46328.7565</v>
      </c>
      <c r="R78" s="31">
        <f t="shared" si="77"/>
        <v>303121.8028</v>
      </c>
      <c r="S78" s="47">
        <f t="shared" si="14"/>
        <v>1221154.945</v>
      </c>
    </row>
    <row r="79" ht="15.75" customHeight="1">
      <c r="A79" s="46">
        <f t="shared" si="8"/>
        <v>2053</v>
      </c>
      <c r="B79" s="31">
        <f t="shared" ref="B79:F79" si="78">B49*$B$7</f>
        <v>306836.4591</v>
      </c>
      <c r="C79" s="31">
        <f t="shared" si="78"/>
        <v>939758.7426</v>
      </c>
      <c r="D79" s="31">
        <f t="shared" si="78"/>
        <v>1187359.911</v>
      </c>
      <c r="E79" s="31">
        <f t="shared" si="78"/>
        <v>129217.4</v>
      </c>
      <c r="F79" s="31">
        <f t="shared" si="78"/>
        <v>846693.1735</v>
      </c>
      <c r="G79" s="47">
        <f t="shared" si="10"/>
        <v>3409865.686</v>
      </c>
      <c r="H79" s="48">
        <f t="shared" ref="H79:L79" si="79">B79/1000</f>
        <v>306.8364591</v>
      </c>
      <c r="I79" s="48">
        <f t="shared" si="79"/>
        <v>939.7587426</v>
      </c>
      <c r="J79" s="48">
        <f t="shared" si="79"/>
        <v>1187.359911</v>
      </c>
      <c r="K79" s="48">
        <f t="shared" si="79"/>
        <v>129.2174</v>
      </c>
      <c r="L79" s="48">
        <f t="shared" si="79"/>
        <v>846.6931735</v>
      </c>
      <c r="M79" s="49">
        <f t="shared" si="12"/>
        <v>3409.865686</v>
      </c>
      <c r="N79" s="31">
        <f t="shared" ref="N79:R79" si="80">H79*$B$8</f>
        <v>111995.3076</v>
      </c>
      <c r="O79" s="31">
        <f t="shared" si="80"/>
        <v>343011.9411</v>
      </c>
      <c r="P79" s="31">
        <f t="shared" si="80"/>
        <v>433386.3676</v>
      </c>
      <c r="Q79" s="31">
        <f t="shared" si="80"/>
        <v>47164.351</v>
      </c>
      <c r="R79" s="31">
        <f t="shared" si="80"/>
        <v>309043.0083</v>
      </c>
      <c r="S79" s="47">
        <f t="shared" si="14"/>
        <v>1244600.976</v>
      </c>
    </row>
    <row r="80" ht="15.75" customHeight="1">
      <c r="A80" s="46">
        <f t="shared" si="8"/>
        <v>2054</v>
      </c>
      <c r="B80" s="31">
        <f t="shared" ref="B80:F80" si="81">B50*$B$7</f>
        <v>306346.3361</v>
      </c>
      <c r="C80" s="31">
        <f t="shared" si="81"/>
        <v>967951.5049</v>
      </c>
      <c r="D80" s="31">
        <f t="shared" si="81"/>
        <v>1206203.122</v>
      </c>
      <c r="E80" s="31">
        <f t="shared" si="81"/>
        <v>131506.7</v>
      </c>
      <c r="F80" s="31">
        <f t="shared" si="81"/>
        <v>863232.5457</v>
      </c>
      <c r="G80" s="47">
        <f t="shared" si="10"/>
        <v>3475240.209</v>
      </c>
      <c r="H80" s="48">
        <f t="shared" ref="H80:L80" si="82">B80/1000</f>
        <v>306.3463361</v>
      </c>
      <c r="I80" s="48">
        <f t="shared" si="82"/>
        <v>967.9515049</v>
      </c>
      <c r="J80" s="48">
        <f t="shared" si="82"/>
        <v>1206.203122</v>
      </c>
      <c r="K80" s="48">
        <f t="shared" si="82"/>
        <v>131.5067</v>
      </c>
      <c r="L80" s="48">
        <f t="shared" si="82"/>
        <v>863.2325457</v>
      </c>
      <c r="M80" s="49">
        <f t="shared" si="12"/>
        <v>3475.240209</v>
      </c>
      <c r="N80" s="31">
        <f t="shared" ref="N80:R80" si="83">H80*$B$8</f>
        <v>111816.4127</v>
      </c>
      <c r="O80" s="31">
        <f t="shared" si="83"/>
        <v>353302.2993</v>
      </c>
      <c r="P80" s="31">
        <f t="shared" si="83"/>
        <v>440264.1396</v>
      </c>
      <c r="Q80" s="31">
        <f t="shared" si="83"/>
        <v>47999.9455</v>
      </c>
      <c r="R80" s="31">
        <f t="shared" si="83"/>
        <v>315079.8792</v>
      </c>
      <c r="S80" s="47">
        <f t="shared" si="14"/>
        <v>1268462.676</v>
      </c>
    </row>
    <row r="81" ht="15.75" customHeight="1">
      <c r="A81" s="50" t="str">
        <f>"Total "&amp;$A$56&amp;"–"&amp;$A$80&amp;" (t)"</f>
        <v>Total 2030–2054 (t)</v>
      </c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2">
        <f t="shared" ref="N81:S81" si="84">SUM(N56:N80)</f>
        <v>2849742.912</v>
      </c>
      <c r="O81" s="52">
        <f t="shared" si="84"/>
        <v>6336668.271</v>
      </c>
      <c r="P81" s="52">
        <f t="shared" si="84"/>
        <v>8943271.874</v>
      </c>
      <c r="Q81" s="52">
        <f t="shared" si="84"/>
        <v>949320.2875</v>
      </c>
      <c r="R81" s="52">
        <f t="shared" si="84"/>
        <v>6306050.967</v>
      </c>
      <c r="S81" s="52">
        <f t="shared" si="84"/>
        <v>25385054.31</v>
      </c>
    </row>
    <row r="82" ht="15.75" customHeight="1"/>
    <row r="83" ht="15.75" customHeight="1"/>
    <row r="84" ht="19.5" customHeight="1">
      <c r="A84" s="21" t="s">
        <v>44</v>
      </c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3"/>
      <c r="X84" s="9"/>
      <c r="Y84" s="9"/>
      <c r="Z84" s="9"/>
    </row>
    <row r="85" ht="27.75" customHeight="1">
      <c r="A85" s="53" t="s">
        <v>45</v>
      </c>
    </row>
    <row r="86" ht="43.5" customHeight="1">
      <c r="A86" s="44" t="s">
        <v>46</v>
      </c>
      <c r="B86" s="44" t="s">
        <v>47</v>
      </c>
      <c r="C86" s="44" t="s">
        <v>48</v>
      </c>
      <c r="D86" s="44" t="s">
        <v>49</v>
      </c>
      <c r="E86" s="44" t="s">
        <v>50</v>
      </c>
      <c r="F86" s="44" t="s">
        <v>51</v>
      </c>
      <c r="G86" s="44" t="s">
        <v>52</v>
      </c>
      <c r="H86" s="44" t="s">
        <v>53</v>
      </c>
      <c r="I86" s="44" t="s">
        <v>54</v>
      </c>
      <c r="J86" s="44" t="s">
        <v>55</v>
      </c>
      <c r="K86" s="44" t="s">
        <v>56</v>
      </c>
      <c r="L86" s="44" t="s">
        <v>57</v>
      </c>
      <c r="M86" s="44" t="s">
        <v>58</v>
      </c>
      <c r="O86" s="44" t="s">
        <v>47</v>
      </c>
      <c r="P86" s="44" t="s">
        <v>59</v>
      </c>
      <c r="Q86" s="44" t="s">
        <v>60</v>
      </c>
    </row>
    <row r="87" ht="15.75" customHeight="1">
      <c r="A87" s="54" t="s">
        <v>61</v>
      </c>
      <c r="B87" s="54" t="s">
        <v>62</v>
      </c>
      <c r="C87" s="16">
        <v>16.75</v>
      </c>
      <c r="D87" s="55">
        <f t="shared" ref="D87:D106" si="85">IF($A87="","",$C87/SUMIF($A$87:$A$106,"&lt;&gt;",$C$87:$C$106)*100)</f>
        <v>16.74665067</v>
      </c>
      <c r="E87" s="56">
        <v>70.0</v>
      </c>
      <c r="F87" s="56">
        <v>0.0</v>
      </c>
      <c r="G87" s="55">
        <f t="shared" ref="G87:G106" si="86">IF($A87="","",$D87*$E87/100)</f>
        <v>11.72265547</v>
      </c>
      <c r="H87" s="55">
        <f t="shared" ref="H87:H106" si="87">IF($A87="","",$D87*$F87/100)</f>
        <v>0</v>
      </c>
      <c r="I87" s="55">
        <f t="shared" ref="I87:I106" si="88">IF($A87="","",$D87-$G87-$H87)</f>
        <v>5.023995201</v>
      </c>
      <c r="J87" s="26">
        <f t="shared" ref="J87:J106" si="89">IF($A87="","",$D87/100*$S$81)</f>
        <v>4251146.368</v>
      </c>
      <c r="K87" s="26">
        <f t="shared" ref="K87:K106" si="90">IF($A87="","",$G87/100*$S$81)</f>
        <v>2975802.458</v>
      </c>
      <c r="L87" s="26">
        <f t="shared" ref="L87:L106" si="91">IF($A87="","",$H87/100*$S$81)</f>
        <v>0</v>
      </c>
      <c r="M87" s="26">
        <f t="shared" ref="M87:M106" si="92">IF($A87="","",$I87/100*$S$81)</f>
        <v>1275343.91</v>
      </c>
      <c r="O87" s="54" t="s">
        <v>63</v>
      </c>
      <c r="P87" s="57">
        <f t="shared" ref="P87:P96" si="93">IF($O87="","",SUMIF($B$87:$B$106,$O87,$D$87:$D$106))</f>
        <v>53.71925615</v>
      </c>
      <c r="Q87" s="26">
        <f t="shared" ref="Q87:Q96" si="94">IF($O87="","",$P87/100*$S$81)</f>
        <v>13636662.35</v>
      </c>
    </row>
    <row r="88" ht="15.75" customHeight="1">
      <c r="A88" s="54" t="s">
        <v>64</v>
      </c>
      <c r="B88" s="54" t="s">
        <v>64</v>
      </c>
      <c r="C88" s="16">
        <v>2.98</v>
      </c>
      <c r="D88" s="55">
        <f t="shared" si="85"/>
        <v>2.979404119</v>
      </c>
      <c r="E88" s="56">
        <v>70.0</v>
      </c>
      <c r="F88" s="56">
        <v>0.0</v>
      </c>
      <c r="G88" s="55">
        <f t="shared" si="86"/>
        <v>2.085582883</v>
      </c>
      <c r="H88" s="55">
        <f t="shared" si="87"/>
        <v>0</v>
      </c>
      <c r="I88" s="55">
        <f t="shared" si="88"/>
        <v>0.8938212358</v>
      </c>
      <c r="J88" s="26">
        <f t="shared" si="89"/>
        <v>756323.3538</v>
      </c>
      <c r="K88" s="26">
        <f t="shared" si="90"/>
        <v>529426.3477</v>
      </c>
      <c r="L88" s="26">
        <f t="shared" si="91"/>
        <v>0</v>
      </c>
      <c r="M88" s="26">
        <f t="shared" si="92"/>
        <v>226897.0061</v>
      </c>
      <c r="O88" s="54" t="s">
        <v>62</v>
      </c>
      <c r="P88" s="57">
        <f t="shared" si="93"/>
        <v>16.74665067</v>
      </c>
      <c r="Q88" s="26">
        <f t="shared" si="94"/>
        <v>4251146.368</v>
      </c>
    </row>
    <row r="89" ht="15.75" customHeight="1">
      <c r="A89" s="54" t="s">
        <v>65</v>
      </c>
      <c r="B89" s="54" t="s">
        <v>66</v>
      </c>
      <c r="C89" s="16">
        <v>1.08</v>
      </c>
      <c r="D89" s="55">
        <f t="shared" si="85"/>
        <v>1.079784043</v>
      </c>
      <c r="E89" s="56">
        <v>70.0</v>
      </c>
      <c r="F89" s="56">
        <v>0.0</v>
      </c>
      <c r="G89" s="55">
        <f t="shared" si="86"/>
        <v>0.7558488302</v>
      </c>
      <c r="H89" s="55">
        <f t="shared" si="87"/>
        <v>0</v>
      </c>
      <c r="I89" s="55">
        <f t="shared" si="88"/>
        <v>0.323935213</v>
      </c>
      <c r="J89" s="26">
        <f t="shared" si="89"/>
        <v>274103.7658</v>
      </c>
      <c r="K89" s="26">
        <f t="shared" si="90"/>
        <v>191872.6361</v>
      </c>
      <c r="L89" s="26">
        <f t="shared" si="91"/>
        <v>0</v>
      </c>
      <c r="M89" s="26">
        <f t="shared" si="92"/>
        <v>82231.12974</v>
      </c>
      <c r="O89" s="54" t="s">
        <v>66</v>
      </c>
      <c r="P89" s="57">
        <f t="shared" si="93"/>
        <v>12.87742452</v>
      </c>
      <c r="Q89" s="26">
        <f t="shared" si="94"/>
        <v>3268941.207</v>
      </c>
    </row>
    <row r="90" ht="15.75" customHeight="1">
      <c r="A90" s="54" t="s">
        <v>67</v>
      </c>
      <c r="B90" s="54" t="s">
        <v>66</v>
      </c>
      <c r="C90" s="16">
        <v>9.7</v>
      </c>
      <c r="D90" s="55">
        <f t="shared" si="85"/>
        <v>9.698060388</v>
      </c>
      <c r="E90" s="56">
        <v>30.0</v>
      </c>
      <c r="F90" s="56">
        <v>0.0</v>
      </c>
      <c r="G90" s="55">
        <f t="shared" si="86"/>
        <v>2.909418116</v>
      </c>
      <c r="H90" s="55">
        <f t="shared" si="87"/>
        <v>0</v>
      </c>
      <c r="I90" s="55">
        <f t="shared" si="88"/>
        <v>6.788642272</v>
      </c>
      <c r="J90" s="26">
        <f t="shared" si="89"/>
        <v>2461857.897</v>
      </c>
      <c r="K90" s="26">
        <f t="shared" si="90"/>
        <v>738557.369</v>
      </c>
      <c r="L90" s="26">
        <f t="shared" si="91"/>
        <v>0</v>
      </c>
      <c r="M90" s="26">
        <f t="shared" si="92"/>
        <v>1723300.528</v>
      </c>
      <c r="O90" s="54" t="s">
        <v>68</v>
      </c>
      <c r="P90" s="57">
        <f t="shared" si="93"/>
        <v>6.078784243</v>
      </c>
      <c r="Q90" s="26">
        <f t="shared" si="94"/>
        <v>1543102.682</v>
      </c>
    </row>
    <row r="91" ht="15.75" customHeight="1">
      <c r="A91" s="54" t="s">
        <v>66</v>
      </c>
      <c r="B91" s="54" t="s">
        <v>66</v>
      </c>
      <c r="C91" s="16">
        <v>2.1</v>
      </c>
      <c r="D91" s="55">
        <f t="shared" si="85"/>
        <v>2.099580084</v>
      </c>
      <c r="E91" s="56">
        <v>60.0</v>
      </c>
      <c r="F91" s="56">
        <v>0.0</v>
      </c>
      <c r="G91" s="55">
        <f t="shared" si="86"/>
        <v>1.25974805</v>
      </c>
      <c r="H91" s="55">
        <f t="shared" si="87"/>
        <v>0</v>
      </c>
      <c r="I91" s="55">
        <f t="shared" si="88"/>
        <v>0.8398320336</v>
      </c>
      <c r="J91" s="26">
        <f t="shared" si="89"/>
        <v>532979.5446</v>
      </c>
      <c r="K91" s="26">
        <f t="shared" si="90"/>
        <v>319787.7268</v>
      </c>
      <c r="L91" s="26">
        <f t="shared" si="91"/>
        <v>0</v>
      </c>
      <c r="M91" s="26">
        <f t="shared" si="92"/>
        <v>213191.8179</v>
      </c>
      <c r="O91" s="54" t="s">
        <v>64</v>
      </c>
      <c r="P91" s="57">
        <f t="shared" si="93"/>
        <v>2.979404119</v>
      </c>
      <c r="Q91" s="26">
        <f t="shared" si="94"/>
        <v>756323.3538</v>
      </c>
    </row>
    <row r="92" ht="15.75" customHeight="1">
      <c r="A92" s="54" t="s">
        <v>69</v>
      </c>
      <c r="B92" s="54" t="s">
        <v>70</v>
      </c>
      <c r="C92" s="16">
        <v>0.71</v>
      </c>
      <c r="D92" s="55">
        <f t="shared" si="85"/>
        <v>0.7098580284</v>
      </c>
      <c r="E92" s="56">
        <v>90.0</v>
      </c>
      <c r="F92" s="56">
        <v>0.0</v>
      </c>
      <c r="G92" s="55">
        <f t="shared" si="86"/>
        <v>0.6388722256</v>
      </c>
      <c r="H92" s="55">
        <f t="shared" si="87"/>
        <v>0</v>
      </c>
      <c r="I92" s="55">
        <f t="shared" si="88"/>
        <v>0.07098580284</v>
      </c>
      <c r="J92" s="26">
        <f t="shared" si="89"/>
        <v>180197.846</v>
      </c>
      <c r="K92" s="26">
        <f t="shared" si="90"/>
        <v>162178.0614</v>
      </c>
      <c r="L92" s="26">
        <f t="shared" si="91"/>
        <v>0</v>
      </c>
      <c r="M92" s="26">
        <f t="shared" si="92"/>
        <v>18019.7846</v>
      </c>
      <c r="O92" s="54" t="s">
        <v>70</v>
      </c>
      <c r="P92" s="57">
        <f t="shared" si="93"/>
        <v>7.598480304</v>
      </c>
      <c r="Q92" s="26">
        <f t="shared" si="94"/>
        <v>1928878.352</v>
      </c>
    </row>
    <row r="93" ht="15.75" customHeight="1">
      <c r="A93" s="54" t="s">
        <v>71</v>
      </c>
      <c r="B93" s="54" t="s">
        <v>70</v>
      </c>
      <c r="C93" s="16">
        <v>0.44</v>
      </c>
      <c r="D93" s="55">
        <f t="shared" si="85"/>
        <v>0.4399120176</v>
      </c>
      <c r="E93" s="56">
        <v>90.0</v>
      </c>
      <c r="F93" s="56">
        <v>0.0</v>
      </c>
      <c r="G93" s="55">
        <f t="shared" si="86"/>
        <v>0.3959208158</v>
      </c>
      <c r="H93" s="55">
        <f t="shared" si="87"/>
        <v>0</v>
      </c>
      <c r="I93" s="55">
        <f t="shared" si="88"/>
        <v>0.04399120176</v>
      </c>
      <c r="J93" s="26">
        <f t="shared" si="89"/>
        <v>111671.9046</v>
      </c>
      <c r="K93" s="26">
        <f t="shared" si="90"/>
        <v>100504.7141</v>
      </c>
      <c r="L93" s="26">
        <f t="shared" si="91"/>
        <v>0</v>
      </c>
      <c r="M93" s="26">
        <f t="shared" si="92"/>
        <v>11167.19046</v>
      </c>
      <c r="O93" s="54"/>
      <c r="P93" s="57" t="str">
        <f t="shared" si="93"/>
        <v/>
      </c>
      <c r="Q93" s="26" t="str">
        <f t="shared" si="94"/>
        <v/>
      </c>
    </row>
    <row r="94" ht="15.75" customHeight="1">
      <c r="A94" s="54" t="s">
        <v>72</v>
      </c>
      <c r="B94" s="54" t="s">
        <v>70</v>
      </c>
      <c r="C94" s="16">
        <v>0.04</v>
      </c>
      <c r="D94" s="55">
        <f t="shared" si="85"/>
        <v>0.0399920016</v>
      </c>
      <c r="E94" s="56">
        <v>80.0</v>
      </c>
      <c r="F94" s="56">
        <v>0.0</v>
      </c>
      <c r="G94" s="55">
        <f t="shared" si="86"/>
        <v>0.03199360128</v>
      </c>
      <c r="H94" s="55">
        <f t="shared" si="87"/>
        <v>0</v>
      </c>
      <c r="I94" s="55">
        <f t="shared" si="88"/>
        <v>0.00799840032</v>
      </c>
      <c r="J94" s="26">
        <f t="shared" si="89"/>
        <v>10151.99133</v>
      </c>
      <c r="K94" s="26">
        <f t="shared" si="90"/>
        <v>8121.593061</v>
      </c>
      <c r="L94" s="26">
        <f t="shared" si="91"/>
        <v>0</v>
      </c>
      <c r="M94" s="26">
        <f t="shared" si="92"/>
        <v>2030.398265</v>
      </c>
      <c r="O94" s="54"/>
      <c r="P94" s="57" t="str">
        <f t="shared" si="93"/>
        <v/>
      </c>
      <c r="Q94" s="26" t="str">
        <f t="shared" si="94"/>
        <v/>
      </c>
    </row>
    <row r="95" ht="15.75" customHeight="1">
      <c r="A95" s="54" t="s">
        <v>63</v>
      </c>
      <c r="B95" s="54" t="s">
        <v>63</v>
      </c>
      <c r="C95" s="16">
        <v>53.73</v>
      </c>
      <c r="D95" s="55">
        <f t="shared" si="85"/>
        <v>53.71925615</v>
      </c>
      <c r="E95" s="56">
        <v>0.0</v>
      </c>
      <c r="F95" s="56">
        <v>70.0</v>
      </c>
      <c r="G95" s="55">
        <f t="shared" si="86"/>
        <v>0</v>
      </c>
      <c r="H95" s="55">
        <f t="shared" si="87"/>
        <v>37.6034793</v>
      </c>
      <c r="I95" s="55">
        <f t="shared" si="88"/>
        <v>16.11577684</v>
      </c>
      <c r="J95" s="26">
        <f t="shared" si="89"/>
        <v>13636662.35</v>
      </c>
      <c r="K95" s="26">
        <f t="shared" si="90"/>
        <v>0</v>
      </c>
      <c r="L95" s="26">
        <f t="shared" si="91"/>
        <v>9545663.644</v>
      </c>
      <c r="M95" s="26">
        <f t="shared" si="92"/>
        <v>4090998.705</v>
      </c>
      <c r="O95" s="54"/>
      <c r="P95" s="57" t="str">
        <f t="shared" si="93"/>
        <v/>
      </c>
      <c r="Q95" s="26" t="str">
        <f t="shared" si="94"/>
        <v/>
      </c>
    </row>
    <row r="96" ht="15.75" customHeight="1">
      <c r="A96" s="54" t="s">
        <v>73</v>
      </c>
      <c r="B96" s="54" t="s">
        <v>70</v>
      </c>
      <c r="C96" s="16">
        <v>2.25</v>
      </c>
      <c r="D96" s="55">
        <f t="shared" si="85"/>
        <v>2.24955009</v>
      </c>
      <c r="E96" s="56">
        <v>30.0</v>
      </c>
      <c r="F96" s="56">
        <v>0.0</v>
      </c>
      <c r="G96" s="55">
        <f t="shared" si="86"/>
        <v>0.674865027</v>
      </c>
      <c r="H96" s="55">
        <f t="shared" si="87"/>
        <v>0</v>
      </c>
      <c r="I96" s="55">
        <f t="shared" si="88"/>
        <v>1.574685063</v>
      </c>
      <c r="J96" s="26">
        <f t="shared" si="89"/>
        <v>571049.5121</v>
      </c>
      <c r="K96" s="26">
        <f t="shared" si="90"/>
        <v>171314.8536</v>
      </c>
      <c r="L96" s="26">
        <f t="shared" si="91"/>
        <v>0</v>
      </c>
      <c r="M96" s="26">
        <f t="shared" si="92"/>
        <v>399734.6585</v>
      </c>
      <c r="O96" s="54"/>
      <c r="P96" s="57" t="str">
        <f t="shared" si="93"/>
        <v/>
      </c>
      <c r="Q96" s="26" t="str">
        <f t="shared" si="94"/>
        <v/>
      </c>
    </row>
    <row r="97" ht="15.75" customHeight="1">
      <c r="A97" s="54" t="s">
        <v>68</v>
      </c>
      <c r="B97" s="54" t="s">
        <v>68</v>
      </c>
      <c r="C97" s="16">
        <v>6.08</v>
      </c>
      <c r="D97" s="55">
        <f t="shared" si="85"/>
        <v>6.078784243</v>
      </c>
      <c r="E97" s="56">
        <v>0.0</v>
      </c>
      <c r="F97" s="56">
        <v>0.0</v>
      </c>
      <c r="G97" s="55">
        <f t="shared" si="86"/>
        <v>0</v>
      </c>
      <c r="H97" s="55">
        <f t="shared" si="87"/>
        <v>0</v>
      </c>
      <c r="I97" s="55">
        <f t="shared" si="88"/>
        <v>6.078784243</v>
      </c>
      <c r="J97" s="26">
        <f t="shared" si="89"/>
        <v>1543102.682</v>
      </c>
      <c r="K97" s="26">
        <f t="shared" si="90"/>
        <v>0</v>
      </c>
      <c r="L97" s="26">
        <f t="shared" si="91"/>
        <v>0</v>
      </c>
      <c r="M97" s="26">
        <f t="shared" si="92"/>
        <v>1543102.682</v>
      </c>
      <c r="O97" s="50" t="s">
        <v>74</v>
      </c>
      <c r="P97" s="58">
        <f t="shared" ref="P97:Q97" si="95">SUM(P87:P96)</f>
        <v>100</v>
      </c>
      <c r="Q97" s="52">
        <f t="shared" si="95"/>
        <v>25385054.31</v>
      </c>
    </row>
    <row r="98" ht="15.75" customHeight="1">
      <c r="A98" s="54" t="s">
        <v>75</v>
      </c>
      <c r="B98" s="54" t="s">
        <v>70</v>
      </c>
      <c r="C98" s="16">
        <v>0.67</v>
      </c>
      <c r="D98" s="55">
        <f t="shared" si="85"/>
        <v>0.6698660268</v>
      </c>
      <c r="E98" s="56">
        <v>50.0</v>
      </c>
      <c r="F98" s="56">
        <v>0.0</v>
      </c>
      <c r="G98" s="55">
        <f t="shared" si="86"/>
        <v>0.3349330134</v>
      </c>
      <c r="H98" s="55">
        <f t="shared" si="87"/>
        <v>0</v>
      </c>
      <c r="I98" s="55">
        <f t="shared" si="88"/>
        <v>0.3349330134</v>
      </c>
      <c r="J98" s="26">
        <f t="shared" si="89"/>
        <v>170045.8547</v>
      </c>
      <c r="K98" s="26">
        <f t="shared" si="90"/>
        <v>85022.92736</v>
      </c>
      <c r="L98" s="26">
        <f t="shared" si="91"/>
        <v>0</v>
      </c>
      <c r="M98" s="26">
        <f t="shared" si="92"/>
        <v>85022.92736</v>
      </c>
    </row>
    <row r="99" ht="15.75" customHeight="1">
      <c r="A99" s="54" t="s">
        <v>76</v>
      </c>
      <c r="B99" s="54" t="s">
        <v>70</v>
      </c>
      <c r="C99" s="16">
        <v>2.23</v>
      </c>
      <c r="D99" s="55">
        <f t="shared" si="85"/>
        <v>2.229554089</v>
      </c>
      <c r="E99" s="56">
        <v>0.0</v>
      </c>
      <c r="F99" s="56">
        <v>0.0</v>
      </c>
      <c r="G99" s="55">
        <f t="shared" si="86"/>
        <v>0</v>
      </c>
      <c r="H99" s="55">
        <f t="shared" si="87"/>
        <v>0</v>
      </c>
      <c r="I99" s="55">
        <f t="shared" si="88"/>
        <v>2.229554089</v>
      </c>
      <c r="J99" s="26">
        <f t="shared" si="89"/>
        <v>565973.5164</v>
      </c>
      <c r="K99" s="26">
        <f t="shared" si="90"/>
        <v>0</v>
      </c>
      <c r="L99" s="26">
        <f t="shared" si="91"/>
        <v>0</v>
      </c>
      <c r="M99" s="26">
        <f t="shared" si="92"/>
        <v>565973.5164</v>
      </c>
    </row>
    <row r="100" ht="15.75" customHeight="1">
      <c r="A100" s="54" t="s">
        <v>77</v>
      </c>
      <c r="B100" s="54" t="s">
        <v>70</v>
      </c>
      <c r="C100" s="16">
        <v>1.22</v>
      </c>
      <c r="D100" s="55">
        <f t="shared" si="85"/>
        <v>1.219756049</v>
      </c>
      <c r="E100" s="56">
        <v>0.0</v>
      </c>
      <c r="F100" s="56">
        <v>0.0</v>
      </c>
      <c r="G100" s="55">
        <f t="shared" si="86"/>
        <v>0</v>
      </c>
      <c r="H100" s="55">
        <f t="shared" si="87"/>
        <v>0</v>
      </c>
      <c r="I100" s="55">
        <f t="shared" si="88"/>
        <v>1.219756049</v>
      </c>
      <c r="J100" s="26">
        <f t="shared" si="89"/>
        <v>309635.7355</v>
      </c>
      <c r="K100" s="26">
        <f t="shared" si="90"/>
        <v>0</v>
      </c>
      <c r="L100" s="26">
        <f t="shared" si="91"/>
        <v>0</v>
      </c>
      <c r="M100" s="26">
        <f t="shared" si="92"/>
        <v>309635.7355</v>
      </c>
    </row>
    <row r="101" ht="15.75" customHeight="1">
      <c r="A101" s="54" t="s">
        <v>78</v>
      </c>
      <c r="B101" s="54" t="s">
        <v>70</v>
      </c>
      <c r="C101" s="16">
        <v>0.04</v>
      </c>
      <c r="D101" s="55">
        <f t="shared" si="85"/>
        <v>0.0399920016</v>
      </c>
      <c r="E101" s="56">
        <v>80.0</v>
      </c>
      <c r="F101" s="56">
        <v>0.0</v>
      </c>
      <c r="G101" s="55">
        <f t="shared" si="86"/>
        <v>0.03199360128</v>
      </c>
      <c r="H101" s="55">
        <f t="shared" si="87"/>
        <v>0</v>
      </c>
      <c r="I101" s="55">
        <f t="shared" si="88"/>
        <v>0.00799840032</v>
      </c>
      <c r="J101" s="26">
        <f t="shared" si="89"/>
        <v>10151.99133</v>
      </c>
      <c r="K101" s="26">
        <f t="shared" si="90"/>
        <v>8121.593061</v>
      </c>
      <c r="L101" s="26">
        <f t="shared" si="91"/>
        <v>0</v>
      </c>
      <c r="M101" s="26">
        <f t="shared" si="92"/>
        <v>2030.398265</v>
      </c>
    </row>
    <row r="102" ht="15.75" customHeight="1">
      <c r="A102" s="54"/>
      <c r="B102" s="54"/>
      <c r="C102" s="16"/>
      <c r="D102" s="55" t="str">
        <f t="shared" si="85"/>
        <v/>
      </c>
      <c r="E102" s="59"/>
      <c r="F102" s="59"/>
      <c r="G102" s="55" t="str">
        <f t="shared" si="86"/>
        <v/>
      </c>
      <c r="H102" s="55" t="str">
        <f t="shared" si="87"/>
        <v/>
      </c>
      <c r="I102" s="55" t="str">
        <f t="shared" si="88"/>
        <v/>
      </c>
      <c r="J102" s="26" t="str">
        <f t="shared" si="89"/>
        <v/>
      </c>
      <c r="K102" s="26" t="str">
        <f t="shared" si="90"/>
        <v/>
      </c>
      <c r="L102" s="26" t="str">
        <f t="shared" si="91"/>
        <v/>
      </c>
      <c r="M102" s="26" t="str">
        <f t="shared" si="92"/>
        <v/>
      </c>
    </row>
    <row r="103" ht="15.75" customHeight="1">
      <c r="A103" s="54"/>
      <c r="B103" s="54"/>
      <c r="C103" s="16"/>
      <c r="D103" s="55" t="str">
        <f t="shared" si="85"/>
        <v/>
      </c>
      <c r="E103" s="59"/>
      <c r="F103" s="59"/>
      <c r="G103" s="55" t="str">
        <f t="shared" si="86"/>
        <v/>
      </c>
      <c r="H103" s="55" t="str">
        <f t="shared" si="87"/>
        <v/>
      </c>
      <c r="I103" s="55" t="str">
        <f t="shared" si="88"/>
        <v/>
      </c>
      <c r="J103" s="26" t="str">
        <f t="shared" si="89"/>
        <v/>
      </c>
      <c r="K103" s="26" t="str">
        <f t="shared" si="90"/>
        <v/>
      </c>
      <c r="L103" s="26" t="str">
        <f t="shared" si="91"/>
        <v/>
      </c>
      <c r="M103" s="26" t="str">
        <f t="shared" si="92"/>
        <v/>
      </c>
    </row>
    <row r="104" ht="15.75" customHeight="1">
      <c r="A104" s="54"/>
      <c r="B104" s="54"/>
      <c r="C104" s="16"/>
      <c r="D104" s="55" t="str">
        <f t="shared" si="85"/>
        <v/>
      </c>
      <c r="E104" s="59"/>
      <c r="F104" s="59"/>
      <c r="G104" s="55" t="str">
        <f t="shared" si="86"/>
        <v/>
      </c>
      <c r="H104" s="55" t="str">
        <f t="shared" si="87"/>
        <v/>
      </c>
      <c r="I104" s="55" t="str">
        <f t="shared" si="88"/>
        <v/>
      </c>
      <c r="J104" s="26" t="str">
        <f t="shared" si="89"/>
        <v/>
      </c>
      <c r="K104" s="26" t="str">
        <f t="shared" si="90"/>
        <v/>
      </c>
      <c r="L104" s="26" t="str">
        <f t="shared" si="91"/>
        <v/>
      </c>
      <c r="M104" s="26" t="str">
        <f t="shared" si="92"/>
        <v/>
      </c>
    </row>
    <row r="105" ht="15.75" customHeight="1">
      <c r="A105" s="54"/>
      <c r="B105" s="54"/>
      <c r="C105" s="16"/>
      <c r="D105" s="55" t="str">
        <f t="shared" si="85"/>
        <v/>
      </c>
      <c r="E105" s="59"/>
      <c r="F105" s="59"/>
      <c r="G105" s="55" t="str">
        <f t="shared" si="86"/>
        <v/>
      </c>
      <c r="H105" s="55" t="str">
        <f t="shared" si="87"/>
        <v/>
      </c>
      <c r="I105" s="55" t="str">
        <f t="shared" si="88"/>
        <v/>
      </c>
      <c r="J105" s="26" t="str">
        <f t="shared" si="89"/>
        <v/>
      </c>
      <c r="K105" s="26" t="str">
        <f t="shared" si="90"/>
        <v/>
      </c>
      <c r="L105" s="26" t="str">
        <f t="shared" si="91"/>
        <v/>
      </c>
      <c r="M105" s="26" t="str">
        <f t="shared" si="92"/>
        <v/>
      </c>
    </row>
    <row r="106" ht="15.75" customHeight="1">
      <c r="A106" s="54"/>
      <c r="B106" s="54"/>
      <c r="C106" s="16"/>
      <c r="D106" s="55" t="str">
        <f t="shared" si="85"/>
        <v/>
      </c>
      <c r="E106" s="59"/>
      <c r="F106" s="59"/>
      <c r="G106" s="55" t="str">
        <f t="shared" si="86"/>
        <v/>
      </c>
      <c r="H106" s="55" t="str">
        <f t="shared" si="87"/>
        <v/>
      </c>
      <c r="I106" s="55" t="str">
        <f t="shared" si="88"/>
        <v/>
      </c>
      <c r="J106" s="26" t="str">
        <f t="shared" si="89"/>
        <v/>
      </c>
      <c r="K106" s="26" t="str">
        <f t="shared" si="90"/>
        <v/>
      </c>
      <c r="L106" s="26" t="str">
        <f t="shared" si="91"/>
        <v/>
      </c>
      <c r="M106" s="26" t="str">
        <f t="shared" si="92"/>
        <v/>
      </c>
    </row>
    <row r="107" ht="15.75" customHeight="1">
      <c r="A107" s="50" t="s">
        <v>74</v>
      </c>
      <c r="B107" s="51"/>
      <c r="C107" s="58">
        <f>SUMIF($A$87:$A$106,"&lt;&gt;",$C$87:$C$106)</f>
        <v>100.02</v>
      </c>
      <c r="D107" s="60">
        <f>SUM(D87:D106)</f>
        <v>100</v>
      </c>
      <c r="E107" s="51"/>
      <c r="F107" s="51"/>
      <c r="G107" s="60">
        <f t="shared" ref="G107:M107" si="96">SUM(G87:G106)</f>
        <v>20.84183163</v>
      </c>
      <c r="H107" s="60">
        <f t="shared" si="96"/>
        <v>37.6034793</v>
      </c>
      <c r="I107" s="60">
        <f t="shared" si="96"/>
        <v>41.55468906</v>
      </c>
      <c r="J107" s="52">
        <f t="shared" si="96"/>
        <v>25385054.31</v>
      </c>
      <c r="K107" s="52">
        <f t="shared" si="96"/>
        <v>5290710.28</v>
      </c>
      <c r="L107" s="52">
        <f t="shared" si="96"/>
        <v>9545663.644</v>
      </c>
      <c r="M107" s="52">
        <f t="shared" si="96"/>
        <v>10548680.39</v>
      </c>
    </row>
    <row r="108" ht="15.75" customHeight="1">
      <c r="A108" s="61" t="s">
        <v>79</v>
      </c>
      <c r="B108" s="13"/>
      <c r="C108" s="62">
        <f>$G$107+$H$107</f>
        <v>58.44531094</v>
      </c>
    </row>
    <row r="109" ht="15.75" customHeight="1"/>
    <row r="110" ht="15.75" customHeight="1"/>
    <row r="111" ht="19.5" customHeight="1">
      <c r="A111" s="21" t="s">
        <v>80</v>
      </c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3"/>
      <c r="X111" s="9"/>
      <c r="Y111" s="9"/>
      <c r="Z111" s="9"/>
    </row>
    <row r="112" ht="15.0" customHeight="1">
      <c r="B112" s="43" t="s">
        <v>81</v>
      </c>
      <c r="C112" s="12"/>
      <c r="D112" s="12"/>
      <c r="E112" s="12"/>
      <c r="F112" s="12"/>
      <c r="G112" s="13"/>
      <c r="H112" s="43" t="s">
        <v>82</v>
      </c>
      <c r="I112" s="12"/>
      <c r="J112" s="12"/>
      <c r="K112" s="12"/>
      <c r="L112" s="12"/>
      <c r="M112" s="13"/>
      <c r="N112" s="43" t="s">
        <v>83</v>
      </c>
      <c r="O112" s="12"/>
      <c r="P112" s="12"/>
      <c r="Q112" s="12"/>
      <c r="R112" s="12"/>
      <c r="S112" s="13"/>
      <c r="T112" s="43" t="s">
        <v>84</v>
      </c>
      <c r="U112" s="12"/>
      <c r="V112" s="13"/>
      <c r="W112" s="42"/>
      <c r="X112" s="42"/>
      <c r="Y112" s="42"/>
      <c r="Z112" s="42"/>
    </row>
    <row r="113" ht="30.0" customHeight="1">
      <c r="A113" s="44" t="s">
        <v>31</v>
      </c>
      <c r="B113" s="44" t="str">
        <f t="shared" ref="B113:F113" si="97">B$25</f>
        <v>Beykoz</v>
      </c>
      <c r="C113" s="44" t="str">
        <f t="shared" si="97"/>
        <v>Çekmeköy</v>
      </c>
      <c r="D113" s="44" t="str">
        <f t="shared" si="97"/>
        <v>Sancaktepe</v>
      </c>
      <c r="E113" s="44" t="str">
        <f t="shared" si="97"/>
        <v>Şile</v>
      </c>
      <c r="F113" s="44" t="str">
        <f t="shared" si="97"/>
        <v>Sultanbeyli</v>
      </c>
      <c r="G113" s="44" t="s">
        <v>43</v>
      </c>
      <c r="H113" s="44" t="str">
        <f t="shared" ref="H113:L113" si="98">B$25</f>
        <v>Beykoz</v>
      </c>
      <c r="I113" s="44" t="str">
        <f t="shared" si="98"/>
        <v>Çekmeköy</v>
      </c>
      <c r="J113" s="44" t="str">
        <f t="shared" si="98"/>
        <v>Sancaktepe</v>
      </c>
      <c r="K113" s="44" t="str">
        <f t="shared" si="98"/>
        <v>Şile</v>
      </c>
      <c r="L113" s="44" t="str">
        <f t="shared" si="98"/>
        <v>Sultanbeyli</v>
      </c>
      <c r="M113" s="44" t="s">
        <v>43</v>
      </c>
      <c r="N113" s="44" t="str">
        <f t="shared" ref="N113:R113" si="99">B$25</f>
        <v>Beykoz</v>
      </c>
      <c r="O113" s="44" t="str">
        <f t="shared" si="99"/>
        <v>Çekmeköy</v>
      </c>
      <c r="P113" s="44" t="str">
        <f t="shared" si="99"/>
        <v>Sancaktepe</v>
      </c>
      <c r="Q113" s="44" t="str">
        <f t="shared" si="99"/>
        <v>Şile</v>
      </c>
      <c r="R113" s="44" t="str">
        <f t="shared" si="99"/>
        <v>Sultanbeyli</v>
      </c>
      <c r="S113" s="44" t="s">
        <v>43</v>
      </c>
      <c r="T113" s="44" t="s">
        <v>85</v>
      </c>
      <c r="U113" s="44" t="s">
        <v>86</v>
      </c>
      <c r="V113" s="44" t="s">
        <v>87</v>
      </c>
      <c r="W113" s="45"/>
      <c r="X113" s="45"/>
      <c r="Y113" s="45"/>
      <c r="Z113" s="45"/>
    </row>
    <row r="114" ht="15.75" customHeight="1">
      <c r="A114" s="46">
        <f t="shared" ref="A114:A138" si="103">A56</f>
        <v>2030</v>
      </c>
      <c r="B114" s="31">
        <f t="shared" ref="B114:F114" si="100">N56*$G$107/100</f>
        <v>24216.08668</v>
      </c>
      <c r="C114" s="31">
        <f t="shared" si="100"/>
        <v>36223.37852</v>
      </c>
      <c r="D114" s="31">
        <f t="shared" si="100"/>
        <v>57356.22259</v>
      </c>
      <c r="E114" s="31">
        <f t="shared" si="100"/>
        <v>5824.391053</v>
      </c>
      <c r="F114" s="31">
        <f t="shared" si="100"/>
        <v>41277.61656</v>
      </c>
      <c r="G114" s="47">
        <f t="shared" ref="G114:G138" si="105">SUM(B114:F114)</f>
        <v>164897.6954</v>
      </c>
      <c r="H114" s="31">
        <f t="shared" ref="H114:L114" si="101">N56*$H$107/100</f>
        <v>43691.41495</v>
      </c>
      <c r="I114" s="31">
        <f t="shared" si="101"/>
        <v>65355.34345</v>
      </c>
      <c r="J114" s="31">
        <f t="shared" si="101"/>
        <v>103483.8764</v>
      </c>
      <c r="K114" s="31">
        <f t="shared" si="101"/>
        <v>10508.54706</v>
      </c>
      <c r="L114" s="31">
        <f t="shared" si="101"/>
        <v>74474.35654</v>
      </c>
      <c r="M114" s="47">
        <f t="shared" ref="M114:M138" si="107">SUM(H114:L114)</f>
        <v>297513.5384</v>
      </c>
      <c r="N114" s="31">
        <f t="shared" ref="N114:R114" si="102">N56*$I$107/100</f>
        <v>48282.31846</v>
      </c>
      <c r="O114" s="31">
        <f t="shared" si="102"/>
        <v>72222.59817</v>
      </c>
      <c r="P114" s="31">
        <f t="shared" si="102"/>
        <v>114357.5113</v>
      </c>
      <c r="Q114" s="31">
        <f t="shared" si="102"/>
        <v>11612.73939</v>
      </c>
      <c r="R114" s="31">
        <f t="shared" si="102"/>
        <v>82299.79743</v>
      </c>
      <c r="S114" s="47">
        <f t="shared" ref="S114:S138" si="109">SUM(N114:R114)</f>
        <v>328774.9647</v>
      </c>
      <c r="T114" s="31">
        <f t="shared" ref="T114:T138" si="110">S56</f>
        <v>791186.1985</v>
      </c>
      <c r="U114" s="30">
        <f t="shared" ref="U114:U139" si="111">IF(T114=0,"",(G114+M114)/T114)</f>
        <v>0.5844531094</v>
      </c>
      <c r="V114" s="32">
        <f t="shared" ref="V114:V138" si="112">T114-(G114+M114+S114)</f>
        <v>0.0000000001164153218</v>
      </c>
    </row>
    <row r="115" ht="15.75" customHeight="1">
      <c r="A115" s="46">
        <f t="shared" si="103"/>
        <v>2031</v>
      </c>
      <c r="B115" s="31">
        <f t="shared" ref="B115:F115" si="104">N57*$G$107/100</f>
        <v>24177.40528</v>
      </c>
      <c r="C115" s="31">
        <f t="shared" si="104"/>
        <v>37310.07988</v>
      </c>
      <c r="D115" s="31">
        <f t="shared" si="104"/>
        <v>58789.67627</v>
      </c>
      <c r="E115" s="31">
        <f t="shared" si="104"/>
        <v>5998.544252</v>
      </c>
      <c r="F115" s="31">
        <f t="shared" si="104"/>
        <v>42083.93683</v>
      </c>
      <c r="G115" s="47">
        <f t="shared" si="105"/>
        <v>168359.6425</v>
      </c>
      <c r="H115" s="31">
        <f t="shared" ref="H115:L115" si="106">N57*$H$107/100</f>
        <v>43621.62478</v>
      </c>
      <c r="I115" s="31">
        <f t="shared" si="106"/>
        <v>67316.00376</v>
      </c>
      <c r="J115" s="31">
        <f t="shared" si="106"/>
        <v>106070.158</v>
      </c>
      <c r="K115" s="31">
        <f t="shared" si="106"/>
        <v>10822.75966</v>
      </c>
      <c r="L115" s="31">
        <f t="shared" si="106"/>
        <v>75929.14458</v>
      </c>
      <c r="M115" s="47">
        <f t="shared" si="107"/>
        <v>303759.6908</v>
      </c>
      <c r="N115" s="31">
        <f t="shared" ref="N115:R115" si="108">N57*$I$107/100</f>
        <v>48205.19504</v>
      </c>
      <c r="O115" s="31">
        <f t="shared" si="108"/>
        <v>74389.27612</v>
      </c>
      <c r="P115" s="31">
        <f t="shared" si="108"/>
        <v>117215.548</v>
      </c>
      <c r="Q115" s="31">
        <f t="shared" si="108"/>
        <v>11959.96809</v>
      </c>
      <c r="R115" s="31">
        <f t="shared" si="108"/>
        <v>83907.44826</v>
      </c>
      <c r="S115" s="47">
        <f t="shared" si="109"/>
        <v>335677.4356</v>
      </c>
      <c r="T115" s="31">
        <f t="shared" si="110"/>
        <v>807796.7689</v>
      </c>
      <c r="U115" s="30">
        <f t="shared" si="111"/>
        <v>0.5844531094</v>
      </c>
      <c r="V115" s="32">
        <f t="shared" si="112"/>
        <v>0.0000000001164153218</v>
      </c>
    </row>
    <row r="116" ht="15.75" customHeight="1">
      <c r="A116" s="46">
        <f t="shared" si="103"/>
        <v>2032</v>
      </c>
      <c r="B116" s="31">
        <f t="shared" ref="B116:F116" si="113">N58*$G$107/100</f>
        <v>24138.78568</v>
      </c>
      <c r="C116" s="31">
        <f t="shared" si="113"/>
        <v>38429.38228</v>
      </c>
      <c r="D116" s="31">
        <f t="shared" si="113"/>
        <v>60223.12994</v>
      </c>
      <c r="E116" s="31">
        <f t="shared" si="113"/>
        <v>6172.697451</v>
      </c>
      <c r="F116" s="31">
        <f t="shared" si="113"/>
        <v>42906.00782</v>
      </c>
      <c r="G116" s="47">
        <f t="shared" si="105"/>
        <v>171870.0032</v>
      </c>
      <c r="H116" s="31">
        <f t="shared" ref="H116:L116" si="114">N58*$H$107/100</f>
        <v>43551.94609</v>
      </c>
      <c r="I116" s="31">
        <f t="shared" si="114"/>
        <v>69335.48387</v>
      </c>
      <c r="J116" s="31">
        <f t="shared" si="114"/>
        <v>108656.4396</v>
      </c>
      <c r="K116" s="31">
        <f t="shared" si="114"/>
        <v>11136.97226</v>
      </c>
      <c r="L116" s="31">
        <f t="shared" si="114"/>
        <v>77412.35057</v>
      </c>
      <c r="M116" s="47">
        <f t="shared" si="107"/>
        <v>310093.1924</v>
      </c>
      <c r="N116" s="31">
        <f t="shared" ref="N116:R116" si="115">N58*$I$107/100</f>
        <v>48128.19481</v>
      </c>
      <c r="O116" s="31">
        <f t="shared" si="115"/>
        <v>76620.9544</v>
      </c>
      <c r="P116" s="31">
        <f t="shared" si="115"/>
        <v>120073.5848</v>
      </c>
      <c r="Q116" s="31">
        <f t="shared" si="115"/>
        <v>12307.19678</v>
      </c>
      <c r="R116" s="31">
        <f t="shared" si="115"/>
        <v>85546.50306</v>
      </c>
      <c r="S116" s="47">
        <f t="shared" si="109"/>
        <v>342676.4339</v>
      </c>
      <c r="T116" s="31">
        <f t="shared" si="110"/>
        <v>824639.6295</v>
      </c>
      <c r="U116" s="30">
        <f t="shared" si="111"/>
        <v>0.5844531094</v>
      </c>
      <c r="V116" s="32">
        <f t="shared" si="112"/>
        <v>0.0000000001164153218</v>
      </c>
    </row>
    <row r="117" ht="15.75" customHeight="1">
      <c r="A117" s="46">
        <f t="shared" si="103"/>
        <v>2033</v>
      </c>
      <c r="B117" s="31">
        <f t="shared" ref="B117:F117" si="116">N59*$G$107/100</f>
        <v>24100.22776</v>
      </c>
      <c r="C117" s="31">
        <f t="shared" si="116"/>
        <v>39582.26374</v>
      </c>
      <c r="D117" s="31">
        <f t="shared" si="116"/>
        <v>61656.58361</v>
      </c>
      <c r="E117" s="31">
        <f t="shared" si="116"/>
        <v>6346.85065</v>
      </c>
      <c r="F117" s="31">
        <f t="shared" si="116"/>
        <v>43744.13721</v>
      </c>
      <c r="G117" s="47">
        <f t="shared" si="105"/>
        <v>175430.063</v>
      </c>
      <c r="H117" s="31">
        <f t="shared" ref="H117:L117" si="117">N59*$H$107/100</f>
        <v>43482.37869</v>
      </c>
      <c r="I117" s="31">
        <f t="shared" si="117"/>
        <v>71415.54839</v>
      </c>
      <c r="J117" s="31">
        <f t="shared" si="117"/>
        <v>111242.7212</v>
      </c>
      <c r="K117" s="31">
        <f t="shared" si="117"/>
        <v>11451.18487</v>
      </c>
      <c r="L117" s="31">
        <f t="shared" si="117"/>
        <v>78924.52962</v>
      </c>
      <c r="M117" s="47">
        <f t="shared" si="107"/>
        <v>316516.3628</v>
      </c>
      <c r="N117" s="31">
        <f t="shared" ref="N117:R117" si="118">N59*$I$107/100</f>
        <v>48051.31758</v>
      </c>
      <c r="O117" s="31">
        <f t="shared" si="118"/>
        <v>78919.58304</v>
      </c>
      <c r="P117" s="31">
        <f t="shared" si="118"/>
        <v>122931.6216</v>
      </c>
      <c r="Q117" s="31">
        <f t="shared" si="118"/>
        <v>12654.42548</v>
      </c>
      <c r="R117" s="31">
        <f t="shared" si="118"/>
        <v>87217.5753</v>
      </c>
      <c r="S117" s="47">
        <f t="shared" si="109"/>
        <v>349774.523</v>
      </c>
      <c r="T117" s="31">
        <f t="shared" si="110"/>
        <v>841720.9488</v>
      </c>
      <c r="U117" s="30">
        <f t="shared" si="111"/>
        <v>0.5844531094</v>
      </c>
      <c r="V117" s="32">
        <f t="shared" si="112"/>
        <v>0.0000000001164153218</v>
      </c>
    </row>
    <row r="118" ht="15.75" customHeight="1">
      <c r="A118" s="46">
        <f t="shared" si="103"/>
        <v>2034</v>
      </c>
      <c r="B118" s="31">
        <f t="shared" ref="B118:F118" si="119">N60*$G$107/100</f>
        <v>24061.73143</v>
      </c>
      <c r="C118" s="31">
        <f t="shared" si="119"/>
        <v>40769.73166</v>
      </c>
      <c r="D118" s="31">
        <f t="shared" si="119"/>
        <v>63090.03728</v>
      </c>
      <c r="E118" s="31">
        <f t="shared" si="119"/>
        <v>6521.003849</v>
      </c>
      <c r="F118" s="31">
        <f t="shared" si="119"/>
        <v>44598.63868</v>
      </c>
      <c r="G118" s="47">
        <f t="shared" si="105"/>
        <v>179041.1429</v>
      </c>
      <c r="H118" s="31">
        <f t="shared" ref="H118:L118" si="120">N60*$H$107/100</f>
        <v>43412.92243</v>
      </c>
      <c r="I118" s="31">
        <f t="shared" si="120"/>
        <v>73558.01484</v>
      </c>
      <c r="J118" s="31">
        <f t="shared" si="120"/>
        <v>113829.0028</v>
      </c>
      <c r="K118" s="31">
        <f t="shared" si="120"/>
        <v>11765.39747</v>
      </c>
      <c r="L118" s="31">
        <f t="shared" si="120"/>
        <v>80466.2477</v>
      </c>
      <c r="M118" s="47">
        <f t="shared" si="107"/>
        <v>323031.5852</v>
      </c>
      <c r="N118" s="31">
        <f t="shared" ref="N118:R118" si="121">N60*$I$107/100</f>
        <v>47974.56315</v>
      </c>
      <c r="O118" s="31">
        <f t="shared" si="121"/>
        <v>81287.17053</v>
      </c>
      <c r="P118" s="31">
        <f t="shared" si="121"/>
        <v>125789.6584</v>
      </c>
      <c r="Q118" s="31">
        <f t="shared" si="121"/>
        <v>13001.65418</v>
      </c>
      <c r="R118" s="31">
        <f t="shared" si="121"/>
        <v>88921.2904</v>
      </c>
      <c r="S118" s="47">
        <f t="shared" si="109"/>
        <v>356974.3367</v>
      </c>
      <c r="T118" s="31">
        <f t="shared" si="110"/>
        <v>859047.0648</v>
      </c>
      <c r="U118" s="30">
        <f t="shared" si="111"/>
        <v>0.5844531094</v>
      </c>
      <c r="V118" s="32">
        <f t="shared" si="112"/>
        <v>0</v>
      </c>
    </row>
    <row r="119" ht="15.75" customHeight="1">
      <c r="A119" s="46">
        <f t="shared" si="103"/>
        <v>2035</v>
      </c>
      <c r="B119" s="31">
        <f t="shared" ref="B119:F119" si="122">N61*$G$107/100</f>
        <v>24023.2966</v>
      </c>
      <c r="C119" s="31">
        <f t="shared" si="122"/>
        <v>41992.82361</v>
      </c>
      <c r="D119" s="31">
        <f t="shared" si="122"/>
        <v>64523.49095</v>
      </c>
      <c r="E119" s="31">
        <f t="shared" si="122"/>
        <v>6695.157048</v>
      </c>
      <c r="F119" s="31">
        <f t="shared" si="122"/>
        <v>45469.83206</v>
      </c>
      <c r="G119" s="47">
        <f t="shared" si="105"/>
        <v>182704.6003</v>
      </c>
      <c r="H119" s="31">
        <f t="shared" ref="H119:L119" si="123">N61*$H$107/100</f>
        <v>43343.5771</v>
      </c>
      <c r="I119" s="31">
        <f t="shared" si="123"/>
        <v>75764.75528</v>
      </c>
      <c r="J119" s="31">
        <f t="shared" si="123"/>
        <v>116415.2844</v>
      </c>
      <c r="K119" s="31">
        <f t="shared" si="123"/>
        <v>12079.61008</v>
      </c>
      <c r="L119" s="31">
        <f t="shared" si="123"/>
        <v>82038.08182</v>
      </c>
      <c r="M119" s="47">
        <f t="shared" si="107"/>
        <v>329641.3087</v>
      </c>
      <c r="N119" s="31">
        <f t="shared" ref="N119:R119" si="124">N61*$I$107/100</f>
        <v>47897.93133</v>
      </c>
      <c r="O119" s="31">
        <f t="shared" si="124"/>
        <v>83725.78564</v>
      </c>
      <c r="P119" s="31">
        <f t="shared" si="124"/>
        <v>128647.6952</v>
      </c>
      <c r="Q119" s="31">
        <f t="shared" si="124"/>
        <v>13348.88287</v>
      </c>
      <c r="R119" s="31">
        <f t="shared" si="124"/>
        <v>90658.286</v>
      </c>
      <c r="S119" s="47">
        <f t="shared" si="109"/>
        <v>364278.5811</v>
      </c>
      <c r="T119" s="31">
        <f t="shared" si="110"/>
        <v>876624.49</v>
      </c>
      <c r="U119" s="30">
        <f t="shared" si="111"/>
        <v>0.5844531094</v>
      </c>
      <c r="V119" s="32">
        <f t="shared" si="112"/>
        <v>0.0000000001164153218</v>
      </c>
    </row>
    <row r="120" ht="15.75" customHeight="1">
      <c r="A120" s="46">
        <f t="shared" si="103"/>
        <v>2036</v>
      </c>
      <c r="B120" s="31">
        <f t="shared" ref="B120:F120" si="125">N62*$G$107/100</f>
        <v>23984.92316</v>
      </c>
      <c r="C120" s="31">
        <f t="shared" si="125"/>
        <v>43252.60831</v>
      </c>
      <c r="D120" s="31">
        <f t="shared" si="125"/>
        <v>65956.94463</v>
      </c>
      <c r="E120" s="31">
        <f t="shared" si="125"/>
        <v>6869.310246</v>
      </c>
      <c r="F120" s="31">
        <f t="shared" si="125"/>
        <v>46358.0434</v>
      </c>
      <c r="G120" s="47">
        <f t="shared" si="105"/>
        <v>186421.8297</v>
      </c>
      <c r="H120" s="31">
        <f t="shared" ref="H120:L120" si="126">N62*$H$107/100</f>
        <v>43274.34255</v>
      </c>
      <c r="I120" s="31">
        <f t="shared" si="126"/>
        <v>78037.69794</v>
      </c>
      <c r="J120" s="31">
        <f t="shared" si="126"/>
        <v>119001.566</v>
      </c>
      <c r="K120" s="31">
        <f t="shared" si="126"/>
        <v>12393.82268</v>
      </c>
      <c r="L120" s="31">
        <f t="shared" si="126"/>
        <v>83640.62027</v>
      </c>
      <c r="M120" s="47">
        <f t="shared" si="107"/>
        <v>336348.0494</v>
      </c>
      <c r="N120" s="31">
        <f t="shared" ref="N120:R120" si="127">N62*$I$107/100</f>
        <v>47821.42191</v>
      </c>
      <c r="O120" s="31">
        <f t="shared" si="127"/>
        <v>86237.55921</v>
      </c>
      <c r="P120" s="31">
        <f t="shared" si="127"/>
        <v>131505.732</v>
      </c>
      <c r="Q120" s="31">
        <f t="shared" si="127"/>
        <v>13696.11157</v>
      </c>
      <c r="R120" s="31">
        <f t="shared" si="127"/>
        <v>92429.21221</v>
      </c>
      <c r="S120" s="47">
        <f t="shared" si="109"/>
        <v>371690.0369</v>
      </c>
      <c r="T120" s="31">
        <f t="shared" si="110"/>
        <v>894459.9161</v>
      </c>
      <c r="U120" s="30">
        <f t="shared" si="111"/>
        <v>0.5844531094</v>
      </c>
      <c r="V120" s="32">
        <f t="shared" si="112"/>
        <v>0.0000000001164153218</v>
      </c>
    </row>
    <row r="121" ht="15.75" customHeight="1">
      <c r="A121" s="46">
        <f t="shared" si="103"/>
        <v>2037</v>
      </c>
      <c r="B121" s="31">
        <f t="shared" ref="B121:F121" si="128">N63*$G$107/100</f>
        <v>23946.61101</v>
      </c>
      <c r="C121" s="31">
        <f t="shared" si="128"/>
        <v>44550.18656</v>
      </c>
      <c r="D121" s="31">
        <f t="shared" si="128"/>
        <v>67390.3983</v>
      </c>
      <c r="E121" s="31">
        <f t="shared" si="128"/>
        <v>7043.463445</v>
      </c>
      <c r="F121" s="31">
        <f t="shared" si="128"/>
        <v>47263.60513</v>
      </c>
      <c r="G121" s="47">
        <f t="shared" si="105"/>
        <v>190194.2644</v>
      </c>
      <c r="H121" s="31">
        <f t="shared" ref="H121:L121" si="129">N63*$H$107/100</f>
        <v>43205.21859</v>
      </c>
      <c r="I121" s="31">
        <f t="shared" si="129"/>
        <v>80378.82888</v>
      </c>
      <c r="J121" s="31">
        <f t="shared" si="129"/>
        <v>121587.8476</v>
      </c>
      <c r="K121" s="31">
        <f t="shared" si="129"/>
        <v>12708.03529</v>
      </c>
      <c r="L121" s="31">
        <f t="shared" si="129"/>
        <v>85274.46284</v>
      </c>
      <c r="M121" s="47">
        <f t="shared" si="107"/>
        <v>343154.3932</v>
      </c>
      <c r="N121" s="31">
        <f t="shared" ref="N121:R121" si="130">N63*$I$107/100</f>
        <v>47745.0347</v>
      </c>
      <c r="O121" s="31">
        <f t="shared" si="130"/>
        <v>88824.68599</v>
      </c>
      <c r="P121" s="31">
        <f t="shared" si="130"/>
        <v>134363.7688</v>
      </c>
      <c r="Q121" s="31">
        <f t="shared" si="130"/>
        <v>14043.34027</v>
      </c>
      <c r="R121" s="31">
        <f t="shared" si="130"/>
        <v>94234.73184</v>
      </c>
      <c r="S121" s="47">
        <f t="shared" si="109"/>
        <v>379211.5616</v>
      </c>
      <c r="T121" s="31">
        <f t="shared" si="110"/>
        <v>912560.2192</v>
      </c>
      <c r="U121" s="30">
        <f t="shared" si="111"/>
        <v>0.5844531094</v>
      </c>
      <c r="V121" s="32">
        <f t="shared" si="112"/>
        <v>0.0000000001164153218</v>
      </c>
    </row>
    <row r="122" ht="15.75" customHeight="1">
      <c r="A122" s="46">
        <f t="shared" si="103"/>
        <v>2038</v>
      </c>
      <c r="B122" s="31">
        <f t="shared" ref="B122:F122" si="131">N64*$G$107/100</f>
        <v>23908.36006</v>
      </c>
      <c r="C122" s="31">
        <f t="shared" si="131"/>
        <v>45886.69216</v>
      </c>
      <c r="D122" s="31">
        <f t="shared" si="131"/>
        <v>68823.85197</v>
      </c>
      <c r="E122" s="31">
        <f t="shared" si="131"/>
        <v>7217.616644</v>
      </c>
      <c r="F122" s="31">
        <f t="shared" si="131"/>
        <v>48186.85617</v>
      </c>
      <c r="G122" s="47">
        <f t="shared" si="105"/>
        <v>194023.377</v>
      </c>
      <c r="H122" s="31">
        <f t="shared" ref="H122:L122" si="132">N64*$H$107/100</f>
        <v>43136.20504</v>
      </c>
      <c r="I122" s="31">
        <f t="shared" si="132"/>
        <v>82790.19375</v>
      </c>
      <c r="J122" s="31">
        <f t="shared" si="132"/>
        <v>124174.1292</v>
      </c>
      <c r="K122" s="31">
        <f t="shared" si="132"/>
        <v>13022.24789</v>
      </c>
      <c r="L122" s="31">
        <f t="shared" si="132"/>
        <v>86940.22102</v>
      </c>
      <c r="M122" s="47">
        <f t="shared" si="107"/>
        <v>350062.9969</v>
      </c>
      <c r="N122" s="31">
        <f t="shared" ref="N122:R122" si="133">N64*$I$107/100</f>
        <v>47668.76951</v>
      </c>
      <c r="O122" s="31">
        <f t="shared" si="133"/>
        <v>91489.42657</v>
      </c>
      <c r="P122" s="31">
        <f t="shared" si="133"/>
        <v>137221.8056</v>
      </c>
      <c r="Q122" s="31">
        <f t="shared" si="133"/>
        <v>14390.56896</v>
      </c>
      <c r="R122" s="31">
        <f t="shared" si="133"/>
        <v>96075.52063</v>
      </c>
      <c r="S122" s="47">
        <f t="shared" si="109"/>
        <v>386846.0913</v>
      </c>
      <c r="T122" s="31">
        <f t="shared" si="110"/>
        <v>930932.4651</v>
      </c>
      <c r="U122" s="30">
        <f t="shared" si="111"/>
        <v>0.5844531094</v>
      </c>
      <c r="V122" s="32">
        <f t="shared" si="112"/>
        <v>0.0000000002328306437</v>
      </c>
    </row>
    <row r="123" ht="15.75" customHeight="1">
      <c r="A123" s="46">
        <f t="shared" si="103"/>
        <v>2039</v>
      </c>
      <c r="B123" s="31">
        <f t="shared" ref="B123:F123" si="134">N65*$G$107/100</f>
        <v>23870.17021</v>
      </c>
      <c r="C123" s="31">
        <f t="shared" si="134"/>
        <v>47263.29292</v>
      </c>
      <c r="D123" s="31">
        <f t="shared" si="134"/>
        <v>70257.30564</v>
      </c>
      <c r="E123" s="31">
        <f t="shared" si="134"/>
        <v>7391.769843</v>
      </c>
      <c r="F123" s="31">
        <f t="shared" si="134"/>
        <v>49128.14208</v>
      </c>
      <c r="G123" s="47">
        <f t="shared" si="105"/>
        <v>197910.6807</v>
      </c>
      <c r="H123" s="31">
        <f t="shared" ref="H123:L123" si="135">N65*$H$107/100</f>
        <v>43067.30173</v>
      </c>
      <c r="I123" s="31">
        <f t="shared" si="135"/>
        <v>85273.89956</v>
      </c>
      <c r="J123" s="31">
        <f t="shared" si="135"/>
        <v>126760.4107</v>
      </c>
      <c r="K123" s="31">
        <f t="shared" si="135"/>
        <v>13336.4605</v>
      </c>
      <c r="L123" s="31">
        <f t="shared" si="135"/>
        <v>88638.51826</v>
      </c>
      <c r="M123" s="47">
        <f t="shared" si="107"/>
        <v>357076.5908</v>
      </c>
      <c r="N123" s="31">
        <f t="shared" ref="N123:R123" si="136">N65*$I$107/100</f>
        <v>47592.62614</v>
      </c>
      <c r="O123" s="31">
        <f t="shared" si="136"/>
        <v>94234.10936</v>
      </c>
      <c r="P123" s="31">
        <f t="shared" si="136"/>
        <v>140079.8424</v>
      </c>
      <c r="Q123" s="31">
        <f t="shared" si="136"/>
        <v>14737.79766</v>
      </c>
      <c r="R123" s="31">
        <f t="shared" si="136"/>
        <v>97952.26754</v>
      </c>
      <c r="S123" s="47">
        <f t="shared" si="109"/>
        <v>394596.6431</v>
      </c>
      <c r="T123" s="31">
        <f t="shared" si="110"/>
        <v>949583.9146</v>
      </c>
      <c r="U123" s="30">
        <f t="shared" si="111"/>
        <v>0.5844531094</v>
      </c>
      <c r="V123" s="32">
        <f t="shared" si="112"/>
        <v>0.0000000001164153218</v>
      </c>
    </row>
    <row r="124" ht="15.75" customHeight="1">
      <c r="A124" s="46">
        <f t="shared" si="103"/>
        <v>2040</v>
      </c>
      <c r="B124" s="31">
        <f t="shared" ref="B124:F124" si="137">N66*$G$107/100</f>
        <v>23832.04137</v>
      </c>
      <c r="C124" s="31">
        <f t="shared" si="137"/>
        <v>48681.19171</v>
      </c>
      <c r="D124" s="31">
        <f t="shared" si="137"/>
        <v>71690.75931</v>
      </c>
      <c r="E124" s="31">
        <f t="shared" si="137"/>
        <v>7565.923042</v>
      </c>
      <c r="F124" s="31">
        <f t="shared" si="137"/>
        <v>50087.81513</v>
      </c>
      <c r="G124" s="47">
        <f t="shared" si="105"/>
        <v>201857.7306</v>
      </c>
      <c r="H124" s="31">
        <f t="shared" ref="H124:L124" si="138">N66*$H$107/100</f>
        <v>42998.50848</v>
      </c>
      <c r="I124" s="31">
        <f t="shared" si="138"/>
        <v>87832.11654</v>
      </c>
      <c r="J124" s="31">
        <f t="shared" si="138"/>
        <v>129346.6923</v>
      </c>
      <c r="K124" s="31">
        <f t="shared" si="138"/>
        <v>13650.6731</v>
      </c>
      <c r="L124" s="31">
        <f t="shared" si="138"/>
        <v>90369.99017</v>
      </c>
      <c r="M124" s="47">
        <f t="shared" si="107"/>
        <v>364197.9806</v>
      </c>
      <c r="N124" s="31">
        <f t="shared" ref="N124:R124" si="139">N66*$I$107/100</f>
        <v>47516.6044</v>
      </c>
      <c r="O124" s="31">
        <f t="shared" si="139"/>
        <v>97061.13265</v>
      </c>
      <c r="P124" s="31">
        <f t="shared" si="139"/>
        <v>142937.8792</v>
      </c>
      <c r="Q124" s="31">
        <f t="shared" si="139"/>
        <v>15085.02635</v>
      </c>
      <c r="R124" s="31">
        <f t="shared" si="139"/>
        <v>99865.67497</v>
      </c>
      <c r="S124" s="47">
        <f t="shared" si="109"/>
        <v>402466.3175</v>
      </c>
      <c r="T124" s="31">
        <f t="shared" si="110"/>
        <v>968522.0288</v>
      </c>
      <c r="U124" s="30">
        <f t="shared" si="111"/>
        <v>0.5844531094</v>
      </c>
      <c r="V124" s="32">
        <f t="shared" si="112"/>
        <v>0</v>
      </c>
    </row>
    <row r="125" ht="15.75" customHeight="1">
      <c r="A125" s="46">
        <f t="shared" si="103"/>
        <v>2041</v>
      </c>
      <c r="B125" s="31">
        <f t="shared" ref="B125:F125" si="140">N67*$G$107/100</f>
        <v>23793.97342</v>
      </c>
      <c r="C125" s="31">
        <f t="shared" si="140"/>
        <v>50141.62746</v>
      </c>
      <c r="D125" s="31">
        <f t="shared" si="140"/>
        <v>73124.21299</v>
      </c>
      <c r="E125" s="31">
        <f t="shared" si="140"/>
        <v>7740.076241</v>
      </c>
      <c r="F125" s="31">
        <f t="shared" si="140"/>
        <v>51066.23452</v>
      </c>
      <c r="G125" s="47">
        <f t="shared" si="105"/>
        <v>205866.1246</v>
      </c>
      <c r="H125" s="31">
        <f t="shared" ref="H125:L125" si="141">N67*$H$107/100</f>
        <v>42929.82512</v>
      </c>
      <c r="I125" s="31">
        <f t="shared" si="141"/>
        <v>90467.08004</v>
      </c>
      <c r="J125" s="31">
        <f t="shared" si="141"/>
        <v>131932.9739</v>
      </c>
      <c r="K125" s="31">
        <f t="shared" si="141"/>
        <v>13964.88571</v>
      </c>
      <c r="L125" s="31">
        <f t="shared" si="141"/>
        <v>92135.28479</v>
      </c>
      <c r="M125" s="47">
        <f t="shared" si="107"/>
        <v>371430.0496</v>
      </c>
      <c r="N125" s="31">
        <f t="shared" ref="N125:R125" si="142">N67*$I$107/100</f>
        <v>47440.70409</v>
      </c>
      <c r="O125" s="31">
        <f t="shared" si="142"/>
        <v>99972.96663</v>
      </c>
      <c r="P125" s="31">
        <f t="shared" si="142"/>
        <v>145795.916</v>
      </c>
      <c r="Q125" s="31">
        <f t="shared" si="142"/>
        <v>15432.25505</v>
      </c>
      <c r="R125" s="31">
        <f t="shared" si="142"/>
        <v>101816.4591</v>
      </c>
      <c r="S125" s="47">
        <f t="shared" si="109"/>
        <v>410458.3008</v>
      </c>
      <c r="T125" s="31">
        <f t="shared" si="110"/>
        <v>987754.475</v>
      </c>
      <c r="U125" s="30">
        <f t="shared" si="111"/>
        <v>0.5844531094</v>
      </c>
      <c r="V125" s="32">
        <f t="shared" si="112"/>
        <v>-0.0000000001164153218</v>
      </c>
    </row>
    <row r="126" ht="15.75" customHeight="1">
      <c r="A126" s="46">
        <f t="shared" si="103"/>
        <v>2042</v>
      </c>
      <c r="B126" s="31">
        <f t="shared" ref="B126:F126" si="143">N68*$G$107/100</f>
        <v>23755.96629</v>
      </c>
      <c r="C126" s="31">
        <f t="shared" si="143"/>
        <v>51645.87629</v>
      </c>
      <c r="D126" s="31">
        <f t="shared" si="143"/>
        <v>74557.66666</v>
      </c>
      <c r="E126" s="31">
        <f t="shared" si="143"/>
        <v>7914.229439</v>
      </c>
      <c r="F126" s="31">
        <f t="shared" si="143"/>
        <v>52063.76644</v>
      </c>
      <c r="G126" s="47">
        <f t="shared" si="105"/>
        <v>209937.5051</v>
      </c>
      <c r="H126" s="31">
        <f t="shared" ref="H126:L126" si="144">N68*$H$107/100</f>
        <v>42861.25147</v>
      </c>
      <c r="I126" s="31">
        <f t="shared" si="144"/>
        <v>93181.09244</v>
      </c>
      <c r="J126" s="31">
        <f t="shared" si="144"/>
        <v>134519.2555</v>
      </c>
      <c r="K126" s="31">
        <f t="shared" si="144"/>
        <v>14279.09831</v>
      </c>
      <c r="L126" s="31">
        <f t="shared" si="144"/>
        <v>93935.06281</v>
      </c>
      <c r="M126" s="47">
        <f t="shared" si="107"/>
        <v>378775.7606</v>
      </c>
      <c r="N126" s="31">
        <f t="shared" ref="N126:R126" si="145">N68*$I$107/100</f>
        <v>47364.92502</v>
      </c>
      <c r="O126" s="31">
        <f t="shared" si="145"/>
        <v>102972.1556</v>
      </c>
      <c r="P126" s="31">
        <f t="shared" si="145"/>
        <v>148653.9528</v>
      </c>
      <c r="Q126" s="31">
        <f t="shared" si="145"/>
        <v>15779.48375</v>
      </c>
      <c r="R126" s="31">
        <f t="shared" si="145"/>
        <v>103805.3499</v>
      </c>
      <c r="S126" s="47">
        <f t="shared" si="109"/>
        <v>418575.8671</v>
      </c>
      <c r="T126" s="31">
        <f t="shared" si="110"/>
        <v>1007289.133</v>
      </c>
      <c r="U126" s="30">
        <f t="shared" si="111"/>
        <v>0.5844531094</v>
      </c>
      <c r="V126" s="32">
        <f t="shared" si="112"/>
        <v>0</v>
      </c>
    </row>
    <row r="127" ht="15.75" customHeight="1">
      <c r="A127" s="46">
        <f t="shared" si="103"/>
        <v>2043</v>
      </c>
      <c r="B127" s="31">
        <f t="shared" ref="B127:F127" si="146">N69*$G$107/100</f>
        <v>23718.01987</v>
      </c>
      <c r="C127" s="31">
        <f t="shared" si="146"/>
        <v>53195.25258</v>
      </c>
      <c r="D127" s="31">
        <f t="shared" si="146"/>
        <v>75991.12033</v>
      </c>
      <c r="E127" s="31">
        <f t="shared" si="146"/>
        <v>8088.382638</v>
      </c>
      <c r="F127" s="31">
        <f t="shared" si="146"/>
        <v>53080.78422</v>
      </c>
      <c r="G127" s="47">
        <f t="shared" si="105"/>
        <v>214073.5596</v>
      </c>
      <c r="H127" s="31">
        <f t="shared" ref="H127:L127" si="147">N69*$H$107/100</f>
        <v>42792.78735</v>
      </c>
      <c r="I127" s="31">
        <f t="shared" si="147"/>
        <v>95976.52522</v>
      </c>
      <c r="J127" s="31">
        <f t="shared" si="147"/>
        <v>137105.5371</v>
      </c>
      <c r="K127" s="31">
        <f t="shared" si="147"/>
        <v>14593.31092</v>
      </c>
      <c r="L127" s="31">
        <f t="shared" si="147"/>
        <v>95769.99785</v>
      </c>
      <c r="M127" s="47">
        <f t="shared" si="107"/>
        <v>386238.1585</v>
      </c>
      <c r="N127" s="31">
        <f t="shared" ref="N127:R127" si="148">N69*$I$107/100</f>
        <v>47289.26699</v>
      </c>
      <c r="O127" s="31">
        <f t="shared" si="148"/>
        <v>106061.3203</v>
      </c>
      <c r="P127" s="31">
        <f t="shared" si="148"/>
        <v>151511.9896</v>
      </c>
      <c r="Q127" s="31">
        <f t="shared" si="148"/>
        <v>16126.71244</v>
      </c>
      <c r="R127" s="31">
        <f t="shared" si="148"/>
        <v>105833.0919</v>
      </c>
      <c r="S127" s="47">
        <f t="shared" si="109"/>
        <v>426822.3812</v>
      </c>
      <c r="T127" s="31">
        <f t="shared" si="110"/>
        <v>1027134.099</v>
      </c>
      <c r="U127" s="30">
        <f t="shared" si="111"/>
        <v>0.5844531094</v>
      </c>
      <c r="V127" s="32">
        <f t="shared" si="112"/>
        <v>0</v>
      </c>
    </row>
    <row r="128" ht="15.75" customHeight="1">
      <c r="A128" s="46">
        <f t="shared" si="103"/>
        <v>2044</v>
      </c>
      <c r="B128" s="31">
        <f t="shared" ref="B128:F128" si="149">N70*$G$107/100</f>
        <v>23680.13406</v>
      </c>
      <c r="C128" s="31">
        <f t="shared" si="149"/>
        <v>54791.11015</v>
      </c>
      <c r="D128" s="31">
        <f t="shared" si="149"/>
        <v>77424.574</v>
      </c>
      <c r="E128" s="31">
        <f t="shared" si="149"/>
        <v>8262.535837</v>
      </c>
      <c r="F128" s="31">
        <f t="shared" si="149"/>
        <v>54117.6685</v>
      </c>
      <c r="G128" s="47">
        <f t="shared" si="105"/>
        <v>218276.0225</v>
      </c>
      <c r="H128" s="31">
        <f t="shared" ref="H128:L128" si="150">N70*$H$107/100</f>
        <v>42724.4326</v>
      </c>
      <c r="I128" s="31">
        <f t="shared" si="150"/>
        <v>98855.82097</v>
      </c>
      <c r="J128" s="31">
        <f t="shared" si="150"/>
        <v>139691.8187</v>
      </c>
      <c r="K128" s="31">
        <f t="shared" si="150"/>
        <v>14907.52352</v>
      </c>
      <c r="L128" s="31">
        <f t="shared" si="150"/>
        <v>97640.77665</v>
      </c>
      <c r="M128" s="47">
        <f t="shared" si="107"/>
        <v>393820.3725</v>
      </c>
      <c r="N128" s="31">
        <f t="shared" ref="N128:R128" si="151">N70*$I$107/100</f>
        <v>47213.72982</v>
      </c>
      <c r="O128" s="31">
        <f t="shared" si="151"/>
        <v>109243.1599</v>
      </c>
      <c r="P128" s="31">
        <f t="shared" si="151"/>
        <v>154370.0263</v>
      </c>
      <c r="Q128" s="31">
        <f t="shared" si="151"/>
        <v>16473.94114</v>
      </c>
      <c r="R128" s="31">
        <f t="shared" si="151"/>
        <v>107900.444</v>
      </c>
      <c r="S128" s="47">
        <f t="shared" si="109"/>
        <v>435201.3012</v>
      </c>
      <c r="T128" s="31">
        <f t="shared" si="110"/>
        <v>1047297.696</v>
      </c>
      <c r="U128" s="30">
        <f t="shared" si="111"/>
        <v>0.5844531094</v>
      </c>
      <c r="V128" s="32">
        <f t="shared" si="112"/>
        <v>0.0000000002328306437</v>
      </c>
    </row>
    <row r="129" ht="15.75" customHeight="1">
      <c r="A129" s="46">
        <f t="shared" si="103"/>
        <v>2045</v>
      </c>
      <c r="B129" s="31">
        <f t="shared" ref="B129:F129" si="152">N71*$G$107/100</f>
        <v>23642.30876</v>
      </c>
      <c r="C129" s="31">
        <f t="shared" si="152"/>
        <v>56434.84346</v>
      </c>
      <c r="D129" s="31">
        <f t="shared" si="152"/>
        <v>78858.02767</v>
      </c>
      <c r="E129" s="31">
        <f t="shared" si="152"/>
        <v>8436.689036</v>
      </c>
      <c r="F129" s="31">
        <f t="shared" si="152"/>
        <v>55174.80737</v>
      </c>
      <c r="G129" s="47">
        <f t="shared" si="105"/>
        <v>222546.6763</v>
      </c>
      <c r="H129" s="31">
        <f t="shared" ref="H129:L129" si="153">N71*$H$107/100</f>
        <v>42656.18703</v>
      </c>
      <c r="I129" s="31">
        <f t="shared" si="153"/>
        <v>101821.4956</v>
      </c>
      <c r="J129" s="31">
        <f t="shared" si="153"/>
        <v>142278.1003</v>
      </c>
      <c r="K129" s="31">
        <f t="shared" si="153"/>
        <v>15221.73613</v>
      </c>
      <c r="L129" s="31">
        <f t="shared" si="153"/>
        <v>99548.09939</v>
      </c>
      <c r="M129" s="47">
        <f t="shared" si="107"/>
        <v>401525.6185</v>
      </c>
      <c r="N129" s="31">
        <f t="shared" ref="N129:R129" si="154">N71*$I$107/100</f>
        <v>47138.3133</v>
      </c>
      <c r="O129" s="31">
        <f t="shared" si="154"/>
        <v>112520.4547</v>
      </c>
      <c r="P129" s="31">
        <f t="shared" si="154"/>
        <v>157228.0631</v>
      </c>
      <c r="Q129" s="31">
        <f t="shared" si="154"/>
        <v>16821.16984</v>
      </c>
      <c r="R129" s="31">
        <f t="shared" si="154"/>
        <v>110008.1799</v>
      </c>
      <c r="S129" s="47">
        <f t="shared" si="109"/>
        <v>443716.1809</v>
      </c>
      <c r="T129" s="31">
        <f t="shared" si="110"/>
        <v>1067788.476</v>
      </c>
      <c r="U129" s="30">
        <f t="shared" si="111"/>
        <v>0.5844531094</v>
      </c>
      <c r="V129" s="32">
        <f t="shared" si="112"/>
        <v>0</v>
      </c>
    </row>
    <row r="130" ht="15.75" customHeight="1">
      <c r="A130" s="46">
        <f t="shared" si="103"/>
        <v>2046</v>
      </c>
      <c r="B130" s="31">
        <f t="shared" ref="B130:F130" si="155">N72*$G$107/100</f>
        <v>23604.54389</v>
      </c>
      <c r="C130" s="31">
        <f t="shared" si="155"/>
        <v>58127.88876</v>
      </c>
      <c r="D130" s="31">
        <f t="shared" si="155"/>
        <v>80291.48135</v>
      </c>
      <c r="E130" s="31">
        <f t="shared" si="155"/>
        <v>8610.842235</v>
      </c>
      <c r="F130" s="31">
        <f t="shared" si="155"/>
        <v>56252.59647</v>
      </c>
      <c r="G130" s="47">
        <f t="shared" si="105"/>
        <v>226887.3527</v>
      </c>
      <c r="H130" s="31">
        <f t="shared" ref="H130:L130" si="156">N72*$H$107/100</f>
        <v>42588.05047</v>
      </c>
      <c r="I130" s="31">
        <f t="shared" si="156"/>
        <v>104876.1405</v>
      </c>
      <c r="J130" s="31">
        <f t="shared" si="156"/>
        <v>144864.3819</v>
      </c>
      <c r="K130" s="31">
        <f t="shared" si="156"/>
        <v>15535.94873</v>
      </c>
      <c r="L130" s="31">
        <f t="shared" si="156"/>
        <v>101492.6799</v>
      </c>
      <c r="M130" s="47">
        <f t="shared" si="107"/>
        <v>409357.2015</v>
      </c>
      <c r="N130" s="31">
        <f t="shared" ref="N130:R130" si="157">N72*$I$107/100</f>
        <v>47063.01725</v>
      </c>
      <c r="O130" s="31">
        <f t="shared" si="157"/>
        <v>115896.0683</v>
      </c>
      <c r="P130" s="31">
        <f t="shared" si="157"/>
        <v>160086.0999</v>
      </c>
      <c r="Q130" s="31">
        <f t="shared" si="157"/>
        <v>17168.39853</v>
      </c>
      <c r="R130" s="31">
        <f t="shared" si="157"/>
        <v>112157.0885</v>
      </c>
      <c r="S130" s="47">
        <f t="shared" si="109"/>
        <v>452370.6726</v>
      </c>
      <c r="T130" s="31">
        <f t="shared" si="110"/>
        <v>1088615.227</v>
      </c>
      <c r="U130" s="30">
        <f t="shared" si="111"/>
        <v>0.5844531094</v>
      </c>
      <c r="V130" s="32">
        <f t="shared" si="112"/>
        <v>-0.0000000002328306437</v>
      </c>
    </row>
    <row r="131" ht="15.75" customHeight="1">
      <c r="A131" s="46">
        <f t="shared" si="103"/>
        <v>2047</v>
      </c>
      <c r="B131" s="31">
        <f t="shared" ref="B131:F131" si="158">N73*$G$107/100</f>
        <v>23566.83934</v>
      </c>
      <c r="C131" s="31">
        <f t="shared" si="158"/>
        <v>59871.72542</v>
      </c>
      <c r="D131" s="31">
        <f t="shared" si="158"/>
        <v>81724.93502</v>
      </c>
      <c r="E131" s="31">
        <f t="shared" si="158"/>
        <v>8784.995434</v>
      </c>
      <c r="F131" s="31">
        <f t="shared" si="158"/>
        <v>57351.43919</v>
      </c>
      <c r="G131" s="47">
        <f t="shared" si="105"/>
        <v>231299.9344</v>
      </c>
      <c r="H131" s="31">
        <f t="shared" ref="H131:L131" si="159">N73*$H$107/100</f>
        <v>42520.02276</v>
      </c>
      <c r="I131" s="31">
        <f t="shared" si="159"/>
        <v>108022.4247</v>
      </c>
      <c r="J131" s="31">
        <f t="shared" si="159"/>
        <v>147450.6635</v>
      </c>
      <c r="K131" s="31">
        <f t="shared" si="159"/>
        <v>15850.16134</v>
      </c>
      <c r="L131" s="31">
        <f t="shared" si="159"/>
        <v>103475.2461</v>
      </c>
      <c r="M131" s="47">
        <f t="shared" si="107"/>
        <v>417318.5183</v>
      </c>
      <c r="N131" s="31">
        <f t="shared" ref="N131:R131" si="160">N73*$I$107/100</f>
        <v>46987.84148</v>
      </c>
      <c r="O131" s="31">
        <f t="shared" si="160"/>
        <v>119372.9504</v>
      </c>
      <c r="P131" s="31">
        <f t="shared" si="160"/>
        <v>162944.1367</v>
      </c>
      <c r="Q131" s="31">
        <f t="shared" si="160"/>
        <v>17515.62723</v>
      </c>
      <c r="R131" s="31">
        <f t="shared" si="160"/>
        <v>114347.9741</v>
      </c>
      <c r="S131" s="47">
        <f t="shared" si="109"/>
        <v>461168.5299</v>
      </c>
      <c r="T131" s="31">
        <f t="shared" si="110"/>
        <v>1109786.983</v>
      </c>
      <c r="U131" s="30">
        <f t="shared" si="111"/>
        <v>0.5844531094</v>
      </c>
      <c r="V131" s="32">
        <f t="shared" si="112"/>
        <v>0</v>
      </c>
    </row>
    <row r="132" ht="15.75" customHeight="1">
      <c r="A132" s="46">
        <f t="shared" si="103"/>
        <v>2048</v>
      </c>
      <c r="B132" s="31">
        <f t="shared" ref="B132:F132" si="161">N74*$G$107/100</f>
        <v>23529.19502</v>
      </c>
      <c r="C132" s="31">
        <f t="shared" si="161"/>
        <v>61667.87719</v>
      </c>
      <c r="D132" s="31">
        <f t="shared" si="161"/>
        <v>83158.38869</v>
      </c>
      <c r="E132" s="31">
        <f t="shared" si="161"/>
        <v>8959.148632</v>
      </c>
      <c r="F132" s="31">
        <f t="shared" si="161"/>
        <v>58471.74679</v>
      </c>
      <c r="G132" s="47">
        <f t="shared" si="105"/>
        <v>235786.3563</v>
      </c>
      <c r="H132" s="31">
        <f t="shared" ref="H132:L132" si="162">N74*$H$107/100</f>
        <v>42452.1037</v>
      </c>
      <c r="I132" s="31">
        <f t="shared" si="162"/>
        <v>111263.0974</v>
      </c>
      <c r="J132" s="31">
        <f t="shared" si="162"/>
        <v>150036.9451</v>
      </c>
      <c r="K132" s="31">
        <f t="shared" si="162"/>
        <v>16164.37394</v>
      </c>
      <c r="L132" s="31">
        <f t="shared" si="162"/>
        <v>105496.5398</v>
      </c>
      <c r="M132" s="47">
        <f t="shared" si="107"/>
        <v>425413.0599</v>
      </c>
      <c r="N132" s="31">
        <f t="shared" ref="N132:R132" si="163">N74*$I$107/100</f>
        <v>46912.78578</v>
      </c>
      <c r="O132" s="31">
        <f t="shared" si="163"/>
        <v>122954.1389</v>
      </c>
      <c r="P132" s="31">
        <f t="shared" si="163"/>
        <v>165802.1735</v>
      </c>
      <c r="Q132" s="31">
        <f t="shared" si="163"/>
        <v>17862.85592</v>
      </c>
      <c r="R132" s="31">
        <f t="shared" si="163"/>
        <v>116581.6565</v>
      </c>
      <c r="S132" s="47">
        <f t="shared" si="109"/>
        <v>470113.6107</v>
      </c>
      <c r="T132" s="31">
        <f t="shared" si="110"/>
        <v>1131313.027</v>
      </c>
      <c r="U132" s="30">
        <f t="shared" si="111"/>
        <v>0.5844531094</v>
      </c>
      <c r="V132" s="32">
        <f t="shared" si="112"/>
        <v>0</v>
      </c>
    </row>
    <row r="133" ht="15.75" customHeight="1">
      <c r="A133" s="46">
        <f t="shared" si="103"/>
        <v>2049</v>
      </c>
      <c r="B133" s="31">
        <f t="shared" ref="B133:F133" si="164">N75*$G$107/100</f>
        <v>23491.61082</v>
      </c>
      <c r="C133" s="31">
        <f t="shared" si="164"/>
        <v>63517.9135</v>
      </c>
      <c r="D133" s="31">
        <f t="shared" si="164"/>
        <v>84591.84236</v>
      </c>
      <c r="E133" s="31">
        <f t="shared" si="164"/>
        <v>9133.301831</v>
      </c>
      <c r="F133" s="31">
        <f t="shared" si="164"/>
        <v>59613.93858</v>
      </c>
      <c r="G133" s="47">
        <f t="shared" si="105"/>
        <v>240348.6071</v>
      </c>
      <c r="H133" s="31">
        <f t="shared" ref="H133:L133" si="165">N75*$H$107/100</f>
        <v>42384.29313</v>
      </c>
      <c r="I133" s="31">
        <f t="shared" si="165"/>
        <v>114600.9903</v>
      </c>
      <c r="J133" s="31">
        <f t="shared" si="165"/>
        <v>152623.2267</v>
      </c>
      <c r="K133" s="31">
        <f t="shared" si="165"/>
        <v>16478.58655</v>
      </c>
      <c r="L133" s="31">
        <f t="shared" si="165"/>
        <v>107557.3177</v>
      </c>
      <c r="M133" s="47">
        <f t="shared" si="107"/>
        <v>433644.4143</v>
      </c>
      <c r="N133" s="31">
        <f t="shared" ref="N133:R133" si="166">N75*$I$107/100</f>
        <v>46837.84998</v>
      </c>
      <c r="O133" s="31">
        <f t="shared" si="166"/>
        <v>126642.7631</v>
      </c>
      <c r="P133" s="31">
        <f t="shared" si="166"/>
        <v>168660.2103</v>
      </c>
      <c r="Q133" s="31">
        <f t="shared" si="166"/>
        <v>18210.08462</v>
      </c>
      <c r="R133" s="31">
        <f t="shared" si="166"/>
        <v>118858.9719</v>
      </c>
      <c r="S133" s="47">
        <f t="shared" si="109"/>
        <v>479209.8799</v>
      </c>
      <c r="T133" s="31">
        <f t="shared" si="110"/>
        <v>1153202.901</v>
      </c>
      <c r="U133" s="30">
        <f t="shared" si="111"/>
        <v>0.5844531094</v>
      </c>
      <c r="V133" s="32">
        <f t="shared" si="112"/>
        <v>0</v>
      </c>
    </row>
    <row r="134" ht="15.75" customHeight="1">
      <c r="A134" s="46">
        <f t="shared" si="103"/>
        <v>2050</v>
      </c>
      <c r="B134" s="31">
        <f t="shared" ref="B134:F134" si="167">N76*$G$107/100</f>
        <v>23454.08667</v>
      </c>
      <c r="C134" s="31">
        <f t="shared" si="167"/>
        <v>65423.45091</v>
      </c>
      <c r="D134" s="31">
        <f t="shared" si="167"/>
        <v>86025.29603</v>
      </c>
      <c r="E134" s="31">
        <f t="shared" si="167"/>
        <v>9307.45503</v>
      </c>
      <c r="F134" s="31">
        <f t="shared" si="167"/>
        <v>60778.44202</v>
      </c>
      <c r="G134" s="47">
        <f t="shared" si="105"/>
        <v>244988.7307</v>
      </c>
      <c r="H134" s="31">
        <f t="shared" ref="H134:L134" si="168">N76*$H$107/100</f>
        <v>42316.59089</v>
      </c>
      <c r="I134" s="31">
        <f t="shared" si="168"/>
        <v>118039.0201</v>
      </c>
      <c r="J134" s="31">
        <f t="shared" si="168"/>
        <v>155209.5083</v>
      </c>
      <c r="K134" s="31">
        <f t="shared" si="168"/>
        <v>16792.79915</v>
      </c>
      <c r="L134" s="31">
        <f t="shared" si="168"/>
        <v>109658.3509</v>
      </c>
      <c r="M134" s="47">
        <f t="shared" si="107"/>
        <v>442016.2693</v>
      </c>
      <c r="N134" s="31">
        <f t="shared" ref="N134:R134" si="169">N76*$I$107/100</f>
        <v>46763.03387</v>
      </c>
      <c r="O134" s="31">
        <f t="shared" si="169"/>
        <v>130442.046</v>
      </c>
      <c r="P134" s="31">
        <f t="shared" si="169"/>
        <v>171518.2471</v>
      </c>
      <c r="Q134" s="31">
        <f t="shared" si="169"/>
        <v>18557.31332</v>
      </c>
      <c r="R134" s="31">
        <f t="shared" si="169"/>
        <v>121180.7726</v>
      </c>
      <c r="S134" s="47">
        <f t="shared" si="109"/>
        <v>488461.4129</v>
      </c>
      <c r="T134" s="31">
        <f t="shared" si="110"/>
        <v>1175466.413</v>
      </c>
      <c r="U134" s="30">
        <f t="shared" si="111"/>
        <v>0.5844531094</v>
      </c>
      <c r="V134" s="32">
        <f t="shared" si="112"/>
        <v>0.0000000002328306437</v>
      </c>
    </row>
    <row r="135" ht="15.75" customHeight="1">
      <c r="A135" s="46">
        <f t="shared" si="103"/>
        <v>2051</v>
      </c>
      <c r="B135" s="31">
        <f t="shared" ref="B135:F135" si="170">N77*$G$107/100</f>
        <v>23416.62245</v>
      </c>
      <c r="C135" s="31">
        <f t="shared" si="170"/>
        <v>67386.15444</v>
      </c>
      <c r="D135" s="31">
        <f t="shared" si="170"/>
        <v>87458.74971</v>
      </c>
      <c r="E135" s="31">
        <f t="shared" si="170"/>
        <v>9481.608229</v>
      </c>
      <c r="F135" s="31">
        <f t="shared" si="170"/>
        <v>61965.69297</v>
      </c>
      <c r="G135" s="47">
        <f t="shared" si="105"/>
        <v>249708.8278</v>
      </c>
      <c r="H135" s="31">
        <f t="shared" ref="H135:L135" si="171">N77*$H$107/100</f>
        <v>42248.99678</v>
      </c>
      <c r="I135" s="31">
        <f t="shared" si="171"/>
        <v>121580.1907</v>
      </c>
      <c r="J135" s="31">
        <f t="shared" si="171"/>
        <v>157795.7898</v>
      </c>
      <c r="K135" s="31">
        <f t="shared" si="171"/>
        <v>17107.01176</v>
      </c>
      <c r="L135" s="31">
        <f t="shared" si="171"/>
        <v>111800.4259</v>
      </c>
      <c r="M135" s="47">
        <f t="shared" si="107"/>
        <v>450532.4149</v>
      </c>
      <c r="N135" s="31">
        <f t="shared" ref="N135:R135" si="172">N77*$I$107/100</f>
        <v>46688.33727</v>
      </c>
      <c r="O135" s="31">
        <f t="shared" si="172"/>
        <v>134355.3073</v>
      </c>
      <c r="P135" s="31">
        <f t="shared" si="172"/>
        <v>174376.2839</v>
      </c>
      <c r="Q135" s="31">
        <f t="shared" si="172"/>
        <v>18904.54201</v>
      </c>
      <c r="R135" s="31">
        <f t="shared" si="172"/>
        <v>123547.9275</v>
      </c>
      <c r="S135" s="47">
        <f t="shared" si="109"/>
        <v>497872.398</v>
      </c>
      <c r="T135" s="31">
        <f t="shared" si="110"/>
        <v>1198113.641</v>
      </c>
      <c r="U135" s="30">
        <f t="shared" si="111"/>
        <v>0.5844531094</v>
      </c>
      <c r="V135" s="32">
        <f t="shared" si="112"/>
        <v>0</v>
      </c>
    </row>
    <row r="136" ht="15.75" customHeight="1">
      <c r="A136" s="46">
        <f t="shared" si="103"/>
        <v>2052</v>
      </c>
      <c r="B136" s="31">
        <f t="shared" ref="B136:F136" si="173">N78*$G$107/100</f>
        <v>23379.21807</v>
      </c>
      <c r="C136" s="31">
        <f t="shared" si="173"/>
        <v>69407.73907</v>
      </c>
      <c r="D136" s="31">
        <f t="shared" si="173"/>
        <v>88892.20338</v>
      </c>
      <c r="E136" s="31">
        <f t="shared" si="173"/>
        <v>9655.761428</v>
      </c>
      <c r="F136" s="31">
        <f t="shared" si="173"/>
        <v>63176.13578</v>
      </c>
      <c r="G136" s="47">
        <f t="shared" si="105"/>
        <v>254511.0577</v>
      </c>
      <c r="H136" s="31">
        <f t="shared" ref="H136:L136" si="174">N78*$H$107/100</f>
        <v>42181.51065</v>
      </c>
      <c r="I136" s="31">
        <f t="shared" si="174"/>
        <v>125227.5964</v>
      </c>
      <c r="J136" s="31">
        <f t="shared" si="174"/>
        <v>160382.0714</v>
      </c>
      <c r="K136" s="31">
        <f t="shared" si="174"/>
        <v>17421.22436</v>
      </c>
      <c r="L136" s="31">
        <f t="shared" si="174"/>
        <v>113984.3444</v>
      </c>
      <c r="M136" s="47">
        <f t="shared" si="107"/>
        <v>459196.7472</v>
      </c>
      <c r="N136" s="31">
        <f t="shared" ref="N136:R136" si="175">N78*$I$107/100</f>
        <v>46613.75999</v>
      </c>
      <c r="O136" s="31">
        <f t="shared" si="175"/>
        <v>138385.9666</v>
      </c>
      <c r="P136" s="31">
        <f t="shared" si="175"/>
        <v>177234.3207</v>
      </c>
      <c r="Q136" s="31">
        <f t="shared" si="175"/>
        <v>19251.77071</v>
      </c>
      <c r="R136" s="31">
        <f t="shared" si="175"/>
        <v>125961.3226</v>
      </c>
      <c r="S136" s="47">
        <f t="shared" si="109"/>
        <v>507447.1406</v>
      </c>
      <c r="T136" s="31">
        <f t="shared" si="110"/>
        <v>1221154.945</v>
      </c>
      <c r="U136" s="30">
        <f t="shared" si="111"/>
        <v>0.5844531094</v>
      </c>
      <c r="V136" s="32">
        <f t="shared" si="112"/>
        <v>0.0000000002328306437</v>
      </c>
    </row>
    <row r="137" ht="15.75" customHeight="1">
      <c r="A137" s="46">
        <f t="shared" si="103"/>
        <v>2053</v>
      </c>
      <c r="B137" s="31">
        <f t="shared" ref="B137:F137" si="176">N79*$G$107/100</f>
        <v>23341.87345</v>
      </c>
      <c r="C137" s="31">
        <f t="shared" si="176"/>
        <v>71489.97124</v>
      </c>
      <c r="D137" s="31">
        <f t="shared" si="176"/>
        <v>90325.65705</v>
      </c>
      <c r="E137" s="31">
        <f t="shared" si="176"/>
        <v>9829.914627</v>
      </c>
      <c r="F137" s="31">
        <f t="shared" si="176"/>
        <v>64410.22347</v>
      </c>
      <c r="G137" s="47">
        <f t="shared" si="105"/>
        <v>259397.6398</v>
      </c>
      <c r="H137" s="31">
        <f t="shared" ref="H137:L137" si="177">N79*$H$107/100</f>
        <v>42114.13231</v>
      </c>
      <c r="I137" s="31">
        <f t="shared" si="177"/>
        <v>128984.4243</v>
      </c>
      <c r="J137" s="31">
        <f t="shared" si="177"/>
        <v>162968.353</v>
      </c>
      <c r="K137" s="31">
        <f t="shared" si="177"/>
        <v>17735.43697</v>
      </c>
      <c r="L137" s="31">
        <f t="shared" si="177"/>
        <v>116210.9237</v>
      </c>
      <c r="M137" s="47">
        <f t="shared" si="107"/>
        <v>468013.2703</v>
      </c>
      <c r="N137" s="31">
        <f t="shared" ref="N137:R137" si="178">N79*$I$107/100</f>
        <v>46539.30183</v>
      </c>
      <c r="O137" s="31">
        <f t="shared" si="178"/>
        <v>142537.5456</v>
      </c>
      <c r="P137" s="31">
        <f t="shared" si="178"/>
        <v>180092.3575</v>
      </c>
      <c r="Q137" s="31">
        <f t="shared" si="178"/>
        <v>19598.99941</v>
      </c>
      <c r="R137" s="31">
        <f t="shared" si="178"/>
        <v>128421.8612</v>
      </c>
      <c r="S137" s="47">
        <f t="shared" si="109"/>
        <v>517190.0654</v>
      </c>
      <c r="T137" s="31">
        <f t="shared" si="110"/>
        <v>1244600.976</v>
      </c>
      <c r="U137" s="30">
        <f t="shared" si="111"/>
        <v>0.5844531094</v>
      </c>
      <c r="V137" s="32">
        <f t="shared" si="112"/>
        <v>0</v>
      </c>
    </row>
    <row r="138" ht="15.75" customHeight="1">
      <c r="A138" s="46">
        <f t="shared" si="103"/>
        <v>2054</v>
      </c>
      <c r="B138" s="31">
        <f t="shared" ref="B138:F138" si="179">N80*$G$107/100</f>
        <v>23304.58847</v>
      </c>
      <c r="C138" s="31">
        <f t="shared" si="179"/>
        <v>73634.67038</v>
      </c>
      <c r="D138" s="31">
        <f t="shared" si="179"/>
        <v>91759.11072</v>
      </c>
      <c r="E138" s="31">
        <f t="shared" si="179"/>
        <v>10004.06783</v>
      </c>
      <c r="F138" s="31">
        <f t="shared" si="179"/>
        <v>65668.41793</v>
      </c>
      <c r="G138" s="47">
        <f t="shared" si="105"/>
        <v>264370.8553</v>
      </c>
      <c r="H138" s="31">
        <f t="shared" ref="H138:L138" si="180">N80*$H$107/100</f>
        <v>42046.8616</v>
      </c>
      <c r="I138" s="31">
        <f t="shared" si="180"/>
        <v>132853.957</v>
      </c>
      <c r="J138" s="31">
        <f t="shared" si="180"/>
        <v>165554.6346</v>
      </c>
      <c r="K138" s="31">
        <f t="shared" si="180"/>
        <v>18049.64957</v>
      </c>
      <c r="L138" s="31">
        <f t="shared" si="180"/>
        <v>118480.9972</v>
      </c>
      <c r="M138" s="47">
        <f t="shared" si="107"/>
        <v>476986.0999</v>
      </c>
      <c r="N138" s="31">
        <f t="shared" ref="N138:R138" si="181">N80*$I$107/100</f>
        <v>46464.96261</v>
      </c>
      <c r="O138" s="31">
        <f t="shared" si="181"/>
        <v>146813.6719</v>
      </c>
      <c r="P138" s="31">
        <f t="shared" si="181"/>
        <v>182950.3943</v>
      </c>
      <c r="Q138" s="31">
        <f t="shared" si="181"/>
        <v>19946.2281</v>
      </c>
      <c r="R138" s="31">
        <f t="shared" si="181"/>
        <v>130930.4641</v>
      </c>
      <c r="S138" s="47">
        <f t="shared" si="109"/>
        <v>527105.721</v>
      </c>
      <c r="T138" s="31">
        <f t="shared" si="110"/>
        <v>1268462.676</v>
      </c>
      <c r="U138" s="30">
        <f t="shared" si="111"/>
        <v>0.5844531094</v>
      </c>
      <c r="V138" s="32">
        <f t="shared" si="112"/>
        <v>0.0000000002328306437</v>
      </c>
    </row>
    <row r="139" ht="15.75" customHeight="1">
      <c r="A139" s="50" t="str">
        <f>"Total "&amp;$A$114&amp;"–"&amp;$A$138&amp;" (t)"</f>
        <v>Total 2030–2054 (t)</v>
      </c>
      <c r="B139" s="52">
        <f t="shared" ref="B139:T139" si="182">SUM(B114:B138)</f>
        <v>593938.6198</v>
      </c>
      <c r="C139" s="52">
        <f t="shared" si="182"/>
        <v>1320677.732</v>
      </c>
      <c r="D139" s="52">
        <f t="shared" si="182"/>
        <v>1863941.666</v>
      </c>
      <c r="E139" s="52">
        <f t="shared" si="182"/>
        <v>197855.736</v>
      </c>
      <c r="F139" s="52">
        <f t="shared" si="182"/>
        <v>1314296.525</v>
      </c>
      <c r="G139" s="52">
        <f t="shared" si="182"/>
        <v>5290710.28</v>
      </c>
      <c r="H139" s="52">
        <f t="shared" si="182"/>
        <v>1071602.486</v>
      </c>
      <c r="I139" s="52">
        <f t="shared" si="182"/>
        <v>2382807.742</v>
      </c>
      <c r="J139" s="52">
        <f t="shared" si="182"/>
        <v>3362981.388</v>
      </c>
      <c r="K139" s="52">
        <f t="shared" si="182"/>
        <v>356977.4578</v>
      </c>
      <c r="L139" s="52">
        <f t="shared" si="182"/>
        <v>2371294.57</v>
      </c>
      <c r="M139" s="52">
        <f t="shared" si="182"/>
        <v>9545663.644</v>
      </c>
      <c r="N139" s="52">
        <f t="shared" si="182"/>
        <v>1184201.806</v>
      </c>
      <c r="O139" s="52">
        <f t="shared" si="182"/>
        <v>2633182.797</v>
      </c>
      <c r="P139" s="52">
        <f t="shared" si="182"/>
        <v>3716348.819</v>
      </c>
      <c r="Q139" s="52">
        <f t="shared" si="182"/>
        <v>394487.0937</v>
      </c>
      <c r="R139" s="52">
        <f t="shared" si="182"/>
        <v>2620459.872</v>
      </c>
      <c r="S139" s="52">
        <f t="shared" si="182"/>
        <v>10548680.39</v>
      </c>
      <c r="T139" s="52">
        <f t="shared" si="182"/>
        <v>25385054.31</v>
      </c>
      <c r="U139" s="63">
        <f t="shared" si="111"/>
        <v>0.5844531094</v>
      </c>
      <c r="V139" s="64">
        <f>SUM(V114:V138)</f>
        <v>0.000000001746229827</v>
      </c>
    </row>
    <row r="140" ht="15.75" customHeight="1"/>
    <row r="141" ht="15.75" customHeight="1"/>
    <row r="142" ht="19.5" customHeight="1">
      <c r="A142" s="21" t="s">
        <v>88</v>
      </c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3"/>
      <c r="X142" s="9"/>
      <c r="Y142" s="9"/>
      <c r="Z142" s="9"/>
    </row>
    <row r="143" ht="15.75" customHeight="1">
      <c r="A143" s="65" t="str">
        <f>B$25</f>
        <v>Beykoz</v>
      </c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3"/>
      <c r="X143" s="45"/>
      <c r="Y143" s="45"/>
      <c r="Z143" s="45"/>
    </row>
    <row r="144" ht="43.5" customHeight="1">
      <c r="A144" s="44" t="s">
        <v>31</v>
      </c>
      <c r="B144" s="44" t="s">
        <v>89</v>
      </c>
      <c r="C144" s="44" t="str">
        <f>IF($A$87="","",$A$87)</f>
        <v>Paper &amp; cardboard</v>
      </c>
      <c r="D144" s="44" t="str">
        <f>IF($A$88="","",$A$88)</f>
        <v>Glass</v>
      </c>
      <c r="E144" s="44" t="str">
        <f>IF($A$89="","",$A$89)</f>
        <v>PET</v>
      </c>
      <c r="F144" s="44" t="str">
        <f>IF($A$90="","",$A$90)</f>
        <v>Plastic bags</v>
      </c>
      <c r="G144" s="44" t="str">
        <f>IF($A$91="","",$A$91)</f>
        <v>Plastic</v>
      </c>
      <c r="H144" s="44" t="str">
        <f>IF($A$92="","",$A$92)</f>
        <v>Ferrous metal</v>
      </c>
      <c r="I144" s="44" t="str">
        <f>IF($A$93="","",$A$93)</f>
        <v>Aluminum</v>
      </c>
      <c r="J144" s="44" t="str">
        <f>IF($A$94="","",$A$94)</f>
        <v>Other metals</v>
      </c>
      <c r="K144" s="44" t="str">
        <f>IF($A$95="","",$A$95)</f>
        <v>Organic matter</v>
      </c>
      <c r="L144" s="44" t="str">
        <f>IF($A$96="","",$A$96)</f>
        <v>Textile</v>
      </c>
      <c r="M144" s="44" t="str">
        <f>IF($A$97="","",$A$97)</f>
        <v>Diapers</v>
      </c>
      <c r="N144" s="44" t="str">
        <f>IF($A$98="","",$A$98)</f>
        <v>Tetra Pak</v>
      </c>
      <c r="O144" s="44" t="str">
        <f>IF($A$99="","",$A$99)</f>
        <v>Other combustible</v>
      </c>
      <c r="P144" s="44" t="str">
        <f>IF($A$100="","",$A$100)</f>
        <v>Other non-combustible</v>
      </c>
      <c r="Q144" s="44" t="str">
        <f>IF($A$101="","",$A$101)</f>
        <v>Electrical/electronic waste</v>
      </c>
      <c r="R144" s="44" t="str">
        <f>IF($A$102="","",$A$102)</f>
        <v/>
      </c>
      <c r="S144" s="44" t="str">
        <f>IF($A$103="","",$A$103)</f>
        <v/>
      </c>
      <c r="T144" s="44" t="str">
        <f>IF($A$104="","",$A$104)</f>
        <v/>
      </c>
      <c r="U144" s="44" t="str">
        <f>IF($A$105="","",$A$105)</f>
        <v/>
      </c>
      <c r="V144" s="44" t="str">
        <f>IF($A$106="","",$A$106)</f>
        <v/>
      </c>
      <c r="W144" s="44" t="s">
        <v>90</v>
      </c>
      <c r="X144" s="45"/>
      <c r="Y144" s="45"/>
      <c r="Z144" s="45"/>
    </row>
    <row r="145" ht="15.75" customHeight="1">
      <c r="A145" s="46">
        <f t="shared" ref="A145:A169" si="183">A56</f>
        <v>2030</v>
      </c>
      <c r="B145" s="47">
        <f t="shared" ref="B145:B169" si="184">N56</f>
        <v>116189.8201</v>
      </c>
      <c r="C145" s="31">
        <f t="shared" ref="C145:C169" si="185">IF(C$144="","",$B145*$D$87/100)</f>
        <v>19457.90328</v>
      </c>
      <c r="D145" s="31">
        <f t="shared" ref="D145:D169" si="186">IF(D$144="","",$B145*$D$88/100)</f>
        <v>3461.764286</v>
      </c>
      <c r="E145" s="31">
        <f t="shared" ref="E145:E169" si="187">IF(E$144="","",$B145*$D$89/100)</f>
        <v>1254.599137</v>
      </c>
      <c r="F145" s="31">
        <f t="shared" ref="F145:F169" si="188">IF(F$144="","",$B145*$D$90/100)</f>
        <v>11268.15892</v>
      </c>
      <c r="G145" s="31">
        <f t="shared" ref="G145:G169" si="189">IF(G$144="","",$B145*$D$91/100)</f>
        <v>2439.498322</v>
      </c>
      <c r="H145" s="31">
        <f t="shared" ref="H145:H169" si="190">IF(H$144="","",$B145*$D$92/100)</f>
        <v>824.782766</v>
      </c>
      <c r="I145" s="31">
        <f t="shared" ref="I145:I169" si="191">IF(I$144="","",$B145*$D$93/100)</f>
        <v>511.1329818</v>
      </c>
      <c r="J145" s="31">
        <f t="shared" ref="J145:J169" si="192">IF(J$144="","",$B145*$D$94/100)</f>
        <v>46.46663471</v>
      </c>
      <c r="K145" s="31">
        <f t="shared" ref="K145:K169" si="193">IF(K$144="","",$B145*$D$95/100)</f>
        <v>62416.30707</v>
      </c>
      <c r="L145" s="31">
        <f t="shared" ref="L145:L169" si="194">IF(L$144="","",$B145*$D$96/100)</f>
        <v>2613.748202</v>
      </c>
      <c r="M145" s="31">
        <f t="shared" ref="M145:M169" si="195">IF(M$144="","",$B145*$D$97/100)</f>
        <v>7062.928475</v>
      </c>
      <c r="N145" s="31">
        <f t="shared" ref="N145:N169" si="196">IF(N$144="","",$B145*$D$98/100)</f>
        <v>778.3161313</v>
      </c>
      <c r="O145" s="31">
        <f t="shared" ref="O145:O169" si="197">IF(O$144="","",$B145*$D$99/100)</f>
        <v>2590.514885</v>
      </c>
      <c r="P145" s="31">
        <f t="shared" ref="P145:P169" si="198">IF(P$144="","",$B145*$D$100/100)</f>
        <v>1417.232359</v>
      </c>
      <c r="Q145" s="31">
        <f t="shared" ref="Q145:Q169" si="199">IF(Q$144="","",$B145*$D$101/100)</f>
        <v>46.46663471</v>
      </c>
      <c r="R145" s="31" t="str">
        <f t="shared" ref="R145:R169" si="200">IF(R$144="","",$B145*$D$102/100)</f>
        <v/>
      </c>
      <c r="S145" s="31" t="str">
        <f t="shared" ref="S145:S169" si="201">IF(S$144="","",$B145*$D$103/100)</f>
        <v/>
      </c>
      <c r="T145" s="31" t="str">
        <f t="shared" ref="T145:T169" si="202">IF(T$144="","",$B145*$D$104/100)</f>
        <v/>
      </c>
      <c r="U145" s="31" t="str">
        <f t="shared" ref="U145:U169" si="203">IF(U$144="","",$B145*$D$105/100)</f>
        <v/>
      </c>
      <c r="V145" s="31" t="str">
        <f t="shared" ref="V145:V169" si="204">IF(V$144="","",$B145*$D$106/100)</f>
        <v/>
      </c>
      <c r="W145" s="47">
        <f t="shared" ref="W145:W169" si="205">SUM(C145:V145)</f>
        <v>116189.8201</v>
      </c>
    </row>
    <row r="146" ht="15.75" customHeight="1">
      <c r="A146" s="46">
        <f t="shared" si="183"/>
        <v>2031</v>
      </c>
      <c r="B146" s="47">
        <f t="shared" si="184"/>
        <v>116004.2251</v>
      </c>
      <c r="C146" s="31">
        <f t="shared" si="185"/>
        <v>19426.82234</v>
      </c>
      <c r="D146" s="31">
        <f t="shared" si="186"/>
        <v>3456.234661</v>
      </c>
      <c r="E146" s="31">
        <f t="shared" si="187"/>
        <v>1252.595112</v>
      </c>
      <c r="F146" s="31">
        <f t="shared" si="188"/>
        <v>11250.1598</v>
      </c>
      <c r="G146" s="31">
        <f t="shared" si="189"/>
        <v>2435.601607</v>
      </c>
      <c r="H146" s="31">
        <f t="shared" si="190"/>
        <v>823.4653051</v>
      </c>
      <c r="I146" s="31">
        <f t="shared" si="191"/>
        <v>510.3165271</v>
      </c>
      <c r="J146" s="31">
        <f t="shared" si="192"/>
        <v>46.39241156</v>
      </c>
      <c r="K146" s="31">
        <f t="shared" si="193"/>
        <v>62316.60682</v>
      </c>
      <c r="L146" s="31">
        <f t="shared" si="194"/>
        <v>2609.57315</v>
      </c>
      <c r="M146" s="31">
        <f t="shared" si="195"/>
        <v>7051.646557</v>
      </c>
      <c r="N146" s="31">
        <f t="shared" si="196"/>
        <v>777.0728936</v>
      </c>
      <c r="O146" s="31">
        <f t="shared" si="197"/>
        <v>2586.376944</v>
      </c>
      <c r="P146" s="31">
        <f t="shared" si="198"/>
        <v>1414.968553</v>
      </c>
      <c r="Q146" s="31">
        <f t="shared" si="199"/>
        <v>46.39241156</v>
      </c>
      <c r="R146" s="31" t="str">
        <f t="shared" si="200"/>
        <v/>
      </c>
      <c r="S146" s="31" t="str">
        <f t="shared" si="201"/>
        <v/>
      </c>
      <c r="T146" s="31" t="str">
        <f t="shared" si="202"/>
        <v/>
      </c>
      <c r="U146" s="31" t="str">
        <f t="shared" si="203"/>
        <v/>
      </c>
      <c r="V146" s="31" t="str">
        <f t="shared" si="204"/>
        <v/>
      </c>
      <c r="W146" s="47">
        <f t="shared" si="205"/>
        <v>116004.2251</v>
      </c>
    </row>
    <row r="147" ht="15.75" customHeight="1">
      <c r="A147" s="46">
        <f t="shared" si="183"/>
        <v>2032</v>
      </c>
      <c r="B147" s="47">
        <f t="shared" si="184"/>
        <v>115818.9266</v>
      </c>
      <c r="C147" s="31">
        <f t="shared" si="185"/>
        <v>19395.79104</v>
      </c>
      <c r="D147" s="31">
        <f t="shared" si="186"/>
        <v>3450.713869</v>
      </c>
      <c r="E147" s="31">
        <f t="shared" si="187"/>
        <v>1250.594288</v>
      </c>
      <c r="F147" s="31">
        <f t="shared" si="188"/>
        <v>11232.18944</v>
      </c>
      <c r="G147" s="31">
        <f t="shared" si="189"/>
        <v>2431.711116</v>
      </c>
      <c r="H147" s="31">
        <f t="shared" si="190"/>
        <v>822.1499487</v>
      </c>
      <c r="I147" s="31">
        <f t="shared" si="191"/>
        <v>509.5013767</v>
      </c>
      <c r="J147" s="31">
        <f t="shared" si="192"/>
        <v>46.31830697</v>
      </c>
      <c r="K147" s="31">
        <f t="shared" si="193"/>
        <v>62217.06584</v>
      </c>
      <c r="L147" s="31">
        <f t="shared" si="194"/>
        <v>2605.404767</v>
      </c>
      <c r="M147" s="31">
        <f t="shared" si="195"/>
        <v>7040.382659</v>
      </c>
      <c r="N147" s="31">
        <f t="shared" si="196"/>
        <v>775.8316417</v>
      </c>
      <c r="O147" s="31">
        <f t="shared" si="197"/>
        <v>2582.245614</v>
      </c>
      <c r="P147" s="31">
        <f t="shared" si="198"/>
        <v>1412.708363</v>
      </c>
      <c r="Q147" s="31">
        <f t="shared" si="199"/>
        <v>46.31830697</v>
      </c>
      <c r="R147" s="31" t="str">
        <f t="shared" si="200"/>
        <v/>
      </c>
      <c r="S147" s="31" t="str">
        <f t="shared" si="201"/>
        <v/>
      </c>
      <c r="T147" s="31" t="str">
        <f t="shared" si="202"/>
        <v/>
      </c>
      <c r="U147" s="31" t="str">
        <f t="shared" si="203"/>
        <v/>
      </c>
      <c r="V147" s="31" t="str">
        <f t="shared" si="204"/>
        <v/>
      </c>
      <c r="W147" s="47">
        <f t="shared" si="205"/>
        <v>115818.9266</v>
      </c>
    </row>
    <row r="148" ht="15.75" customHeight="1">
      <c r="A148" s="46">
        <f t="shared" si="183"/>
        <v>2033</v>
      </c>
      <c r="B148" s="47">
        <f t="shared" si="184"/>
        <v>115633.924</v>
      </c>
      <c r="C148" s="31">
        <f t="shared" si="185"/>
        <v>19364.80931</v>
      </c>
      <c r="D148" s="31">
        <f t="shared" si="186"/>
        <v>3445.201896</v>
      </c>
      <c r="E148" s="31">
        <f t="shared" si="187"/>
        <v>1248.59666</v>
      </c>
      <c r="F148" s="31">
        <f t="shared" si="188"/>
        <v>11214.24778</v>
      </c>
      <c r="G148" s="31">
        <f t="shared" si="189"/>
        <v>2427.826839</v>
      </c>
      <c r="H148" s="31">
        <f t="shared" si="190"/>
        <v>820.8366933</v>
      </c>
      <c r="I148" s="31">
        <f t="shared" si="191"/>
        <v>508.6875283</v>
      </c>
      <c r="J148" s="31">
        <f t="shared" si="192"/>
        <v>46.24432075</v>
      </c>
      <c r="K148" s="31">
        <f t="shared" si="193"/>
        <v>62117.68385</v>
      </c>
      <c r="L148" s="31">
        <f t="shared" si="194"/>
        <v>2601.243042</v>
      </c>
      <c r="M148" s="31">
        <f t="shared" si="195"/>
        <v>7029.136754</v>
      </c>
      <c r="N148" s="31">
        <f t="shared" si="196"/>
        <v>774.5923726</v>
      </c>
      <c r="O148" s="31">
        <f t="shared" si="197"/>
        <v>2578.120882</v>
      </c>
      <c r="P148" s="31">
        <f t="shared" si="198"/>
        <v>1410.451783</v>
      </c>
      <c r="Q148" s="31">
        <f t="shared" si="199"/>
        <v>46.24432075</v>
      </c>
      <c r="R148" s="31" t="str">
        <f t="shared" si="200"/>
        <v/>
      </c>
      <c r="S148" s="31" t="str">
        <f t="shared" si="201"/>
        <v/>
      </c>
      <c r="T148" s="31" t="str">
        <f t="shared" si="202"/>
        <v/>
      </c>
      <c r="U148" s="31" t="str">
        <f t="shared" si="203"/>
        <v/>
      </c>
      <c r="V148" s="31" t="str">
        <f t="shared" si="204"/>
        <v/>
      </c>
      <c r="W148" s="47">
        <f t="shared" si="205"/>
        <v>115633.924</v>
      </c>
    </row>
    <row r="149" ht="15.75" customHeight="1">
      <c r="A149" s="46">
        <f t="shared" si="183"/>
        <v>2034</v>
      </c>
      <c r="B149" s="47">
        <f t="shared" si="184"/>
        <v>115449.217</v>
      </c>
      <c r="C149" s="31">
        <f t="shared" si="185"/>
        <v>19333.87707</v>
      </c>
      <c r="D149" s="31">
        <f t="shared" si="186"/>
        <v>3439.698727</v>
      </c>
      <c r="E149" s="31">
        <f t="shared" si="187"/>
        <v>1246.602223</v>
      </c>
      <c r="F149" s="31">
        <f t="shared" si="188"/>
        <v>11196.33478</v>
      </c>
      <c r="G149" s="31">
        <f t="shared" si="189"/>
        <v>2423.948768</v>
      </c>
      <c r="H149" s="31">
        <f t="shared" si="190"/>
        <v>819.5255357</v>
      </c>
      <c r="I149" s="31">
        <f t="shared" si="191"/>
        <v>507.8749799</v>
      </c>
      <c r="J149" s="31">
        <f t="shared" si="192"/>
        <v>46.17045271</v>
      </c>
      <c r="K149" s="31">
        <f t="shared" si="193"/>
        <v>62018.46061</v>
      </c>
      <c r="L149" s="31">
        <f t="shared" si="194"/>
        <v>2597.087965</v>
      </c>
      <c r="M149" s="31">
        <f t="shared" si="195"/>
        <v>7017.908813</v>
      </c>
      <c r="N149" s="31">
        <f t="shared" si="196"/>
        <v>773.355083</v>
      </c>
      <c r="O149" s="31">
        <f t="shared" si="197"/>
        <v>2574.002739</v>
      </c>
      <c r="P149" s="31">
        <f t="shared" si="198"/>
        <v>1408.198808</v>
      </c>
      <c r="Q149" s="31">
        <f t="shared" si="199"/>
        <v>46.17045271</v>
      </c>
      <c r="R149" s="31" t="str">
        <f t="shared" si="200"/>
        <v/>
      </c>
      <c r="S149" s="31" t="str">
        <f t="shared" si="201"/>
        <v/>
      </c>
      <c r="T149" s="31" t="str">
        <f t="shared" si="202"/>
        <v/>
      </c>
      <c r="U149" s="31" t="str">
        <f t="shared" si="203"/>
        <v/>
      </c>
      <c r="V149" s="31" t="str">
        <f t="shared" si="204"/>
        <v/>
      </c>
      <c r="W149" s="47">
        <f t="shared" si="205"/>
        <v>115449.217</v>
      </c>
    </row>
    <row r="150" ht="15.75" customHeight="1">
      <c r="A150" s="46">
        <f t="shared" si="183"/>
        <v>2035</v>
      </c>
      <c r="B150" s="47">
        <f t="shared" si="184"/>
        <v>115264.805</v>
      </c>
      <c r="C150" s="31">
        <f t="shared" si="185"/>
        <v>19302.99424</v>
      </c>
      <c r="D150" s="31">
        <f t="shared" si="186"/>
        <v>3434.204349</v>
      </c>
      <c r="E150" s="31">
        <f t="shared" si="187"/>
        <v>1244.610972</v>
      </c>
      <c r="F150" s="31">
        <f t="shared" si="188"/>
        <v>11178.4504</v>
      </c>
      <c r="G150" s="31">
        <f t="shared" si="189"/>
        <v>2420.07689</v>
      </c>
      <c r="H150" s="31">
        <f t="shared" si="190"/>
        <v>818.2164724</v>
      </c>
      <c r="I150" s="31">
        <f t="shared" si="191"/>
        <v>507.0637294</v>
      </c>
      <c r="J150" s="31">
        <f t="shared" si="192"/>
        <v>46.09670267</v>
      </c>
      <c r="K150" s="31">
        <f t="shared" si="193"/>
        <v>61919.39586</v>
      </c>
      <c r="L150" s="31">
        <f t="shared" si="194"/>
        <v>2592.939525</v>
      </c>
      <c r="M150" s="31">
        <f t="shared" si="195"/>
        <v>7006.698806</v>
      </c>
      <c r="N150" s="31">
        <f t="shared" si="196"/>
        <v>772.1197697</v>
      </c>
      <c r="O150" s="31">
        <f t="shared" si="197"/>
        <v>2569.891174</v>
      </c>
      <c r="P150" s="31">
        <f t="shared" si="198"/>
        <v>1405.949431</v>
      </c>
      <c r="Q150" s="31">
        <f t="shared" si="199"/>
        <v>46.09670267</v>
      </c>
      <c r="R150" s="31" t="str">
        <f t="shared" si="200"/>
        <v/>
      </c>
      <c r="S150" s="31" t="str">
        <f t="shared" si="201"/>
        <v/>
      </c>
      <c r="T150" s="31" t="str">
        <f t="shared" si="202"/>
        <v/>
      </c>
      <c r="U150" s="31" t="str">
        <f t="shared" si="203"/>
        <v/>
      </c>
      <c r="V150" s="31" t="str">
        <f t="shared" si="204"/>
        <v/>
      </c>
      <c r="W150" s="47">
        <f t="shared" si="205"/>
        <v>115264.805</v>
      </c>
    </row>
    <row r="151" ht="15.75" customHeight="1">
      <c r="A151" s="46">
        <f t="shared" si="183"/>
        <v>2036</v>
      </c>
      <c r="B151" s="47">
        <f t="shared" si="184"/>
        <v>115080.6876</v>
      </c>
      <c r="C151" s="31">
        <f t="shared" si="185"/>
        <v>19272.16074</v>
      </c>
      <c r="D151" s="31">
        <f t="shared" si="186"/>
        <v>3428.718747</v>
      </c>
      <c r="E151" s="31">
        <f t="shared" si="187"/>
        <v>1242.622902</v>
      </c>
      <c r="F151" s="31">
        <f t="shared" si="188"/>
        <v>11160.59458</v>
      </c>
      <c r="G151" s="31">
        <f t="shared" si="189"/>
        <v>2416.211198</v>
      </c>
      <c r="H151" s="31">
        <f t="shared" si="190"/>
        <v>816.9095002</v>
      </c>
      <c r="I151" s="31">
        <f t="shared" si="191"/>
        <v>506.2537747</v>
      </c>
      <c r="J151" s="31">
        <f t="shared" si="192"/>
        <v>46.02307043</v>
      </c>
      <c r="K151" s="31">
        <f t="shared" si="193"/>
        <v>61820.48936</v>
      </c>
      <c r="L151" s="31">
        <f t="shared" si="194"/>
        <v>2588.797712</v>
      </c>
      <c r="M151" s="31">
        <f t="shared" si="195"/>
        <v>6995.506706</v>
      </c>
      <c r="N151" s="31">
        <f t="shared" si="196"/>
        <v>770.8864297</v>
      </c>
      <c r="O151" s="31">
        <f t="shared" si="197"/>
        <v>2565.786177</v>
      </c>
      <c r="P151" s="31">
        <f t="shared" si="198"/>
        <v>1403.703648</v>
      </c>
      <c r="Q151" s="31">
        <f t="shared" si="199"/>
        <v>46.02307043</v>
      </c>
      <c r="R151" s="31" t="str">
        <f t="shared" si="200"/>
        <v/>
      </c>
      <c r="S151" s="31" t="str">
        <f t="shared" si="201"/>
        <v/>
      </c>
      <c r="T151" s="31" t="str">
        <f t="shared" si="202"/>
        <v/>
      </c>
      <c r="U151" s="31" t="str">
        <f t="shared" si="203"/>
        <v/>
      </c>
      <c r="V151" s="31" t="str">
        <f t="shared" si="204"/>
        <v/>
      </c>
      <c r="W151" s="47">
        <f t="shared" si="205"/>
        <v>115080.6876</v>
      </c>
    </row>
    <row r="152" ht="15.75" customHeight="1">
      <c r="A152" s="46">
        <f t="shared" si="183"/>
        <v>2037</v>
      </c>
      <c r="B152" s="47">
        <f t="shared" si="184"/>
        <v>114896.8643</v>
      </c>
      <c r="C152" s="31">
        <f t="shared" si="185"/>
        <v>19241.37649</v>
      </c>
      <c r="D152" s="31">
        <f t="shared" si="186"/>
        <v>3423.241908</v>
      </c>
      <c r="E152" s="31">
        <f t="shared" si="187"/>
        <v>1240.638007</v>
      </c>
      <c r="F152" s="31">
        <f t="shared" si="188"/>
        <v>11142.76728</v>
      </c>
      <c r="G152" s="31">
        <f t="shared" si="189"/>
        <v>2412.35168</v>
      </c>
      <c r="H152" s="31">
        <f t="shared" si="190"/>
        <v>815.6046156</v>
      </c>
      <c r="I152" s="31">
        <f t="shared" si="191"/>
        <v>505.4451139</v>
      </c>
      <c r="J152" s="31">
        <f t="shared" si="192"/>
        <v>45.94955581</v>
      </c>
      <c r="K152" s="31">
        <f t="shared" si="193"/>
        <v>61721.74084</v>
      </c>
      <c r="L152" s="31">
        <f t="shared" si="194"/>
        <v>2584.662514</v>
      </c>
      <c r="M152" s="31">
        <f t="shared" si="195"/>
        <v>6984.332483</v>
      </c>
      <c r="N152" s="31">
        <f t="shared" si="196"/>
        <v>769.6550598</v>
      </c>
      <c r="O152" s="31">
        <f t="shared" si="197"/>
        <v>2561.687736</v>
      </c>
      <c r="P152" s="31">
        <f t="shared" si="198"/>
        <v>1401.461452</v>
      </c>
      <c r="Q152" s="31">
        <f t="shared" si="199"/>
        <v>45.94955581</v>
      </c>
      <c r="R152" s="31" t="str">
        <f t="shared" si="200"/>
        <v/>
      </c>
      <c r="S152" s="31" t="str">
        <f t="shared" si="201"/>
        <v/>
      </c>
      <c r="T152" s="31" t="str">
        <f t="shared" si="202"/>
        <v/>
      </c>
      <c r="U152" s="31" t="str">
        <f t="shared" si="203"/>
        <v/>
      </c>
      <c r="V152" s="31" t="str">
        <f t="shared" si="204"/>
        <v/>
      </c>
      <c r="W152" s="47">
        <f t="shared" si="205"/>
        <v>114896.8643</v>
      </c>
    </row>
    <row r="153" ht="15.75" customHeight="1">
      <c r="A153" s="46">
        <f t="shared" si="183"/>
        <v>2038</v>
      </c>
      <c r="B153" s="47">
        <f t="shared" si="184"/>
        <v>114713.3346</v>
      </c>
      <c r="C153" s="31">
        <f t="shared" si="185"/>
        <v>19210.64142</v>
      </c>
      <c r="D153" s="31">
        <f t="shared" si="186"/>
        <v>3417.773817</v>
      </c>
      <c r="E153" s="31">
        <f t="shared" si="187"/>
        <v>1238.656283</v>
      </c>
      <c r="F153" s="31">
        <f t="shared" si="188"/>
        <v>11124.96846</v>
      </c>
      <c r="G153" s="31">
        <f t="shared" si="189"/>
        <v>2408.498327</v>
      </c>
      <c r="H153" s="31">
        <f t="shared" si="190"/>
        <v>814.3018154</v>
      </c>
      <c r="I153" s="31">
        <f t="shared" si="191"/>
        <v>504.6377447</v>
      </c>
      <c r="J153" s="31">
        <f t="shared" si="192"/>
        <v>45.87615861</v>
      </c>
      <c r="K153" s="31">
        <f t="shared" si="193"/>
        <v>61623.15005</v>
      </c>
      <c r="L153" s="31">
        <f t="shared" si="194"/>
        <v>2580.533922</v>
      </c>
      <c r="M153" s="31">
        <f t="shared" si="195"/>
        <v>6973.176109</v>
      </c>
      <c r="N153" s="31">
        <f t="shared" si="196"/>
        <v>768.4256567</v>
      </c>
      <c r="O153" s="31">
        <f t="shared" si="197"/>
        <v>2557.595843</v>
      </c>
      <c r="P153" s="31">
        <f t="shared" si="198"/>
        <v>1399.222838</v>
      </c>
      <c r="Q153" s="31">
        <f t="shared" si="199"/>
        <v>45.87615861</v>
      </c>
      <c r="R153" s="31" t="str">
        <f t="shared" si="200"/>
        <v/>
      </c>
      <c r="S153" s="31" t="str">
        <f t="shared" si="201"/>
        <v/>
      </c>
      <c r="T153" s="31" t="str">
        <f t="shared" si="202"/>
        <v/>
      </c>
      <c r="U153" s="31" t="str">
        <f t="shared" si="203"/>
        <v/>
      </c>
      <c r="V153" s="31" t="str">
        <f t="shared" si="204"/>
        <v/>
      </c>
      <c r="W153" s="47">
        <f t="shared" si="205"/>
        <v>114713.3346</v>
      </c>
    </row>
    <row r="154" ht="15.75" customHeight="1">
      <c r="A154" s="46">
        <f t="shared" si="183"/>
        <v>2039</v>
      </c>
      <c r="B154" s="47">
        <f t="shared" si="184"/>
        <v>114530.0981</v>
      </c>
      <c r="C154" s="31">
        <f t="shared" si="185"/>
        <v>19179.95544</v>
      </c>
      <c r="D154" s="31">
        <f t="shared" si="186"/>
        <v>3412.31446</v>
      </c>
      <c r="E154" s="31">
        <f t="shared" si="187"/>
        <v>1236.677724</v>
      </c>
      <c r="F154" s="31">
        <f t="shared" si="188"/>
        <v>11107.19807</v>
      </c>
      <c r="G154" s="31">
        <f t="shared" si="189"/>
        <v>2404.651129</v>
      </c>
      <c r="H154" s="31">
        <f t="shared" si="190"/>
        <v>813.0010961</v>
      </c>
      <c r="I154" s="31">
        <f t="shared" si="191"/>
        <v>503.8316652</v>
      </c>
      <c r="J154" s="31">
        <f t="shared" si="192"/>
        <v>45.80287866</v>
      </c>
      <c r="K154" s="31">
        <f t="shared" si="193"/>
        <v>61524.71675</v>
      </c>
      <c r="L154" s="31">
        <f t="shared" si="194"/>
        <v>2576.411924</v>
      </c>
      <c r="M154" s="31">
        <f t="shared" si="195"/>
        <v>6962.037556</v>
      </c>
      <c r="N154" s="31">
        <f t="shared" si="196"/>
        <v>767.1982175</v>
      </c>
      <c r="O154" s="31">
        <f t="shared" si="197"/>
        <v>2553.510485</v>
      </c>
      <c r="P154" s="31">
        <f t="shared" si="198"/>
        <v>1396.987799</v>
      </c>
      <c r="Q154" s="31">
        <f t="shared" si="199"/>
        <v>45.80287866</v>
      </c>
      <c r="R154" s="31" t="str">
        <f t="shared" si="200"/>
        <v/>
      </c>
      <c r="S154" s="31" t="str">
        <f t="shared" si="201"/>
        <v/>
      </c>
      <c r="T154" s="31" t="str">
        <f t="shared" si="202"/>
        <v/>
      </c>
      <c r="U154" s="31" t="str">
        <f t="shared" si="203"/>
        <v/>
      </c>
      <c r="V154" s="31" t="str">
        <f t="shared" si="204"/>
        <v/>
      </c>
      <c r="W154" s="47">
        <f t="shared" si="205"/>
        <v>114530.0981</v>
      </c>
    </row>
    <row r="155" ht="15.75" customHeight="1">
      <c r="A155" s="46">
        <f t="shared" si="183"/>
        <v>2040</v>
      </c>
      <c r="B155" s="47">
        <f t="shared" si="184"/>
        <v>114347.1542</v>
      </c>
      <c r="C155" s="31">
        <f t="shared" si="185"/>
        <v>19149.31847</v>
      </c>
      <c r="D155" s="31">
        <f t="shared" si="186"/>
        <v>3406.863824</v>
      </c>
      <c r="E155" s="31">
        <f t="shared" si="187"/>
        <v>1234.702325</v>
      </c>
      <c r="F155" s="31">
        <f t="shared" si="188"/>
        <v>11089.45607</v>
      </c>
      <c r="G155" s="31">
        <f t="shared" si="189"/>
        <v>2400.810077</v>
      </c>
      <c r="H155" s="31">
        <f t="shared" si="190"/>
        <v>811.7024546</v>
      </c>
      <c r="I155" s="31">
        <f t="shared" si="191"/>
        <v>503.0268733</v>
      </c>
      <c r="J155" s="31">
        <f t="shared" si="192"/>
        <v>45.72971575</v>
      </c>
      <c r="K155" s="31">
        <f t="shared" si="193"/>
        <v>61426.44069</v>
      </c>
      <c r="L155" s="31">
        <f t="shared" si="194"/>
        <v>2572.296511</v>
      </c>
      <c r="M155" s="31">
        <f t="shared" si="195"/>
        <v>6950.916795</v>
      </c>
      <c r="N155" s="31">
        <f t="shared" si="196"/>
        <v>765.9727389</v>
      </c>
      <c r="O155" s="31">
        <f t="shared" si="197"/>
        <v>2549.431653</v>
      </c>
      <c r="P155" s="31">
        <f t="shared" si="198"/>
        <v>1394.75633</v>
      </c>
      <c r="Q155" s="31">
        <f t="shared" si="199"/>
        <v>45.72971575</v>
      </c>
      <c r="R155" s="31" t="str">
        <f t="shared" si="200"/>
        <v/>
      </c>
      <c r="S155" s="31" t="str">
        <f t="shared" si="201"/>
        <v/>
      </c>
      <c r="T155" s="31" t="str">
        <f t="shared" si="202"/>
        <v/>
      </c>
      <c r="U155" s="31" t="str">
        <f t="shared" si="203"/>
        <v/>
      </c>
      <c r="V155" s="31" t="str">
        <f t="shared" si="204"/>
        <v/>
      </c>
      <c r="W155" s="47">
        <f t="shared" si="205"/>
        <v>114347.1542</v>
      </c>
    </row>
    <row r="156" ht="15.75" customHeight="1">
      <c r="A156" s="46">
        <f t="shared" si="183"/>
        <v>2041</v>
      </c>
      <c r="B156" s="47">
        <f t="shared" si="184"/>
        <v>114164.5026</v>
      </c>
      <c r="C156" s="31">
        <f t="shared" si="185"/>
        <v>19118.73044</v>
      </c>
      <c r="D156" s="31">
        <f t="shared" si="186"/>
        <v>3401.421894</v>
      </c>
      <c r="E156" s="31">
        <f t="shared" si="187"/>
        <v>1232.730082</v>
      </c>
      <c r="F156" s="31">
        <f t="shared" si="188"/>
        <v>11071.74241</v>
      </c>
      <c r="G156" s="31">
        <f t="shared" si="189"/>
        <v>2396.97516</v>
      </c>
      <c r="H156" s="31">
        <f t="shared" si="190"/>
        <v>810.4058875</v>
      </c>
      <c r="I156" s="31">
        <f t="shared" si="191"/>
        <v>502.2233669</v>
      </c>
      <c r="J156" s="31">
        <f t="shared" si="192"/>
        <v>45.65666972</v>
      </c>
      <c r="K156" s="31">
        <f t="shared" si="193"/>
        <v>61328.3216</v>
      </c>
      <c r="L156" s="31">
        <f t="shared" si="194"/>
        <v>2568.187672</v>
      </c>
      <c r="M156" s="31">
        <f t="shared" si="195"/>
        <v>6939.813797</v>
      </c>
      <c r="N156" s="31">
        <f t="shared" si="196"/>
        <v>764.7492178</v>
      </c>
      <c r="O156" s="31">
        <f t="shared" si="197"/>
        <v>2545.359337</v>
      </c>
      <c r="P156" s="31">
        <f t="shared" si="198"/>
        <v>1392.528426</v>
      </c>
      <c r="Q156" s="31">
        <f t="shared" si="199"/>
        <v>45.65666972</v>
      </c>
      <c r="R156" s="31" t="str">
        <f t="shared" si="200"/>
        <v/>
      </c>
      <c r="S156" s="31" t="str">
        <f t="shared" si="201"/>
        <v/>
      </c>
      <c r="T156" s="31" t="str">
        <f t="shared" si="202"/>
        <v/>
      </c>
      <c r="U156" s="31" t="str">
        <f t="shared" si="203"/>
        <v/>
      </c>
      <c r="V156" s="31" t="str">
        <f t="shared" si="204"/>
        <v/>
      </c>
      <c r="W156" s="47">
        <f t="shared" si="205"/>
        <v>114164.5026</v>
      </c>
    </row>
    <row r="157" ht="15.75" customHeight="1">
      <c r="A157" s="46">
        <f t="shared" si="183"/>
        <v>2042</v>
      </c>
      <c r="B157" s="47">
        <f t="shared" si="184"/>
        <v>113982.1428</v>
      </c>
      <c r="C157" s="31">
        <f t="shared" si="185"/>
        <v>19088.19128</v>
      </c>
      <c r="D157" s="31">
        <f t="shared" si="186"/>
        <v>3395.988657</v>
      </c>
      <c r="E157" s="31">
        <f t="shared" si="187"/>
        <v>1230.76099</v>
      </c>
      <c r="F157" s="31">
        <f t="shared" si="188"/>
        <v>11054.05704</v>
      </c>
      <c r="G157" s="31">
        <f t="shared" si="189"/>
        <v>2393.146369</v>
      </c>
      <c r="H157" s="31">
        <f t="shared" si="190"/>
        <v>809.1113914</v>
      </c>
      <c r="I157" s="31">
        <f t="shared" si="191"/>
        <v>501.421144</v>
      </c>
      <c r="J157" s="31">
        <f t="shared" si="192"/>
        <v>45.58374036</v>
      </c>
      <c r="K157" s="31">
        <f t="shared" si="193"/>
        <v>61230.35924</v>
      </c>
      <c r="L157" s="31">
        <f t="shared" si="194"/>
        <v>2564.085395</v>
      </c>
      <c r="M157" s="31">
        <f t="shared" si="195"/>
        <v>6928.728535</v>
      </c>
      <c r="N157" s="31">
        <f t="shared" si="196"/>
        <v>763.5276511</v>
      </c>
      <c r="O157" s="31">
        <f t="shared" si="197"/>
        <v>2541.293525</v>
      </c>
      <c r="P157" s="31">
        <f t="shared" si="198"/>
        <v>1390.304081</v>
      </c>
      <c r="Q157" s="31">
        <f t="shared" si="199"/>
        <v>45.58374036</v>
      </c>
      <c r="R157" s="31" t="str">
        <f t="shared" si="200"/>
        <v/>
      </c>
      <c r="S157" s="31" t="str">
        <f t="shared" si="201"/>
        <v/>
      </c>
      <c r="T157" s="31" t="str">
        <f t="shared" si="202"/>
        <v/>
      </c>
      <c r="U157" s="31" t="str">
        <f t="shared" si="203"/>
        <v/>
      </c>
      <c r="V157" s="31" t="str">
        <f t="shared" si="204"/>
        <v/>
      </c>
      <c r="W157" s="47">
        <f t="shared" si="205"/>
        <v>113982.1428</v>
      </c>
    </row>
    <row r="158" ht="15.75" customHeight="1">
      <c r="A158" s="46">
        <f t="shared" si="183"/>
        <v>2043</v>
      </c>
      <c r="B158" s="47">
        <f t="shared" si="184"/>
        <v>113800.0742</v>
      </c>
      <c r="C158" s="31">
        <f t="shared" si="185"/>
        <v>19057.70089</v>
      </c>
      <c r="D158" s="31">
        <f t="shared" si="186"/>
        <v>3390.564099</v>
      </c>
      <c r="E158" s="31">
        <f t="shared" si="187"/>
        <v>1228.795042</v>
      </c>
      <c r="F158" s="31">
        <f t="shared" si="188"/>
        <v>11036.39992</v>
      </c>
      <c r="G158" s="31">
        <f t="shared" si="189"/>
        <v>2389.323694</v>
      </c>
      <c r="H158" s="31">
        <f t="shared" si="190"/>
        <v>807.8189631</v>
      </c>
      <c r="I158" s="31">
        <f t="shared" si="191"/>
        <v>500.6202025</v>
      </c>
      <c r="J158" s="31">
        <f t="shared" si="192"/>
        <v>45.5109275</v>
      </c>
      <c r="K158" s="31">
        <f t="shared" si="193"/>
        <v>61132.55336</v>
      </c>
      <c r="L158" s="31">
        <f t="shared" si="194"/>
        <v>2559.989672</v>
      </c>
      <c r="M158" s="31">
        <f t="shared" si="195"/>
        <v>6917.66098</v>
      </c>
      <c r="N158" s="31">
        <f t="shared" si="196"/>
        <v>762.3080356</v>
      </c>
      <c r="O158" s="31">
        <f t="shared" si="197"/>
        <v>2537.234208</v>
      </c>
      <c r="P158" s="31">
        <f t="shared" si="198"/>
        <v>1388.083289</v>
      </c>
      <c r="Q158" s="31">
        <f t="shared" si="199"/>
        <v>45.5109275</v>
      </c>
      <c r="R158" s="31" t="str">
        <f t="shared" si="200"/>
        <v/>
      </c>
      <c r="S158" s="31" t="str">
        <f t="shared" si="201"/>
        <v/>
      </c>
      <c r="T158" s="31" t="str">
        <f t="shared" si="202"/>
        <v/>
      </c>
      <c r="U158" s="31" t="str">
        <f t="shared" si="203"/>
        <v/>
      </c>
      <c r="V158" s="31" t="str">
        <f t="shared" si="204"/>
        <v/>
      </c>
      <c r="W158" s="47">
        <f t="shared" si="205"/>
        <v>113800.0742</v>
      </c>
    </row>
    <row r="159" ht="15.75" customHeight="1">
      <c r="A159" s="46">
        <f t="shared" si="183"/>
        <v>2044</v>
      </c>
      <c r="B159" s="47">
        <f t="shared" si="184"/>
        <v>113618.2965</v>
      </c>
      <c r="C159" s="31">
        <f t="shared" si="185"/>
        <v>19027.25921</v>
      </c>
      <c r="D159" s="31">
        <f t="shared" si="186"/>
        <v>3385.148205</v>
      </c>
      <c r="E159" s="31">
        <f t="shared" si="187"/>
        <v>1226.832235</v>
      </c>
      <c r="F159" s="31">
        <f t="shared" si="188"/>
        <v>11018.771</v>
      </c>
      <c r="G159" s="31">
        <f t="shared" si="189"/>
        <v>2385.507124</v>
      </c>
      <c r="H159" s="31">
        <f t="shared" si="190"/>
        <v>806.5285992</v>
      </c>
      <c r="I159" s="31">
        <f t="shared" si="191"/>
        <v>499.8205404</v>
      </c>
      <c r="J159" s="31">
        <f t="shared" si="192"/>
        <v>45.43823094</v>
      </c>
      <c r="K159" s="31">
        <f t="shared" si="193"/>
        <v>61034.90371</v>
      </c>
      <c r="L159" s="31">
        <f t="shared" si="194"/>
        <v>2555.900491</v>
      </c>
      <c r="M159" s="31">
        <f t="shared" si="195"/>
        <v>6906.611103</v>
      </c>
      <c r="N159" s="31">
        <f t="shared" si="196"/>
        <v>761.0903683</v>
      </c>
      <c r="O159" s="31">
        <f t="shared" si="197"/>
        <v>2533.181375</v>
      </c>
      <c r="P159" s="31">
        <f t="shared" si="198"/>
        <v>1385.866044</v>
      </c>
      <c r="Q159" s="31">
        <f t="shared" si="199"/>
        <v>45.43823094</v>
      </c>
      <c r="R159" s="31" t="str">
        <f t="shared" si="200"/>
        <v/>
      </c>
      <c r="S159" s="31" t="str">
        <f t="shared" si="201"/>
        <v/>
      </c>
      <c r="T159" s="31" t="str">
        <f t="shared" si="202"/>
        <v/>
      </c>
      <c r="U159" s="31" t="str">
        <f t="shared" si="203"/>
        <v/>
      </c>
      <c r="V159" s="31" t="str">
        <f t="shared" si="204"/>
        <v/>
      </c>
      <c r="W159" s="47">
        <f t="shared" si="205"/>
        <v>113618.2965</v>
      </c>
    </row>
    <row r="160" ht="15.75" customHeight="1">
      <c r="A160" s="46">
        <f t="shared" si="183"/>
        <v>2045</v>
      </c>
      <c r="B160" s="47">
        <f t="shared" si="184"/>
        <v>113436.8091</v>
      </c>
      <c r="C160" s="31">
        <f t="shared" si="185"/>
        <v>18996.86615</v>
      </c>
      <c r="D160" s="31">
        <f t="shared" si="186"/>
        <v>3379.740963</v>
      </c>
      <c r="E160" s="31">
        <f t="shared" si="187"/>
        <v>1224.872564</v>
      </c>
      <c r="F160" s="31">
        <f t="shared" si="188"/>
        <v>11001.17025</v>
      </c>
      <c r="G160" s="31">
        <f t="shared" si="189"/>
        <v>2381.696652</v>
      </c>
      <c r="H160" s="31">
        <f t="shared" si="190"/>
        <v>805.2402965</v>
      </c>
      <c r="I160" s="31">
        <f t="shared" si="191"/>
        <v>499.0221556</v>
      </c>
      <c r="J160" s="31">
        <f t="shared" si="192"/>
        <v>45.36565051</v>
      </c>
      <c r="K160" s="31">
        <f t="shared" si="193"/>
        <v>60937.41004</v>
      </c>
      <c r="L160" s="31">
        <f t="shared" si="194"/>
        <v>2551.817841</v>
      </c>
      <c r="M160" s="31">
        <f t="shared" si="195"/>
        <v>6895.578877</v>
      </c>
      <c r="N160" s="31">
        <f t="shared" si="196"/>
        <v>759.874646</v>
      </c>
      <c r="O160" s="31">
        <f t="shared" si="197"/>
        <v>2529.135016</v>
      </c>
      <c r="P160" s="31">
        <f t="shared" si="198"/>
        <v>1383.65234</v>
      </c>
      <c r="Q160" s="31">
        <f t="shared" si="199"/>
        <v>45.36565051</v>
      </c>
      <c r="R160" s="31" t="str">
        <f t="shared" si="200"/>
        <v/>
      </c>
      <c r="S160" s="31" t="str">
        <f t="shared" si="201"/>
        <v/>
      </c>
      <c r="T160" s="31" t="str">
        <f t="shared" si="202"/>
        <v/>
      </c>
      <c r="U160" s="31" t="str">
        <f t="shared" si="203"/>
        <v/>
      </c>
      <c r="V160" s="31" t="str">
        <f t="shared" si="204"/>
        <v/>
      </c>
      <c r="W160" s="47">
        <f t="shared" si="205"/>
        <v>113436.8091</v>
      </c>
    </row>
    <row r="161" ht="15.75" customHeight="1">
      <c r="A161" s="46">
        <f t="shared" si="183"/>
        <v>2046</v>
      </c>
      <c r="B161" s="47">
        <f t="shared" si="184"/>
        <v>113255.6116</v>
      </c>
      <c r="C161" s="31">
        <f t="shared" si="185"/>
        <v>18966.52164</v>
      </c>
      <c r="D161" s="31">
        <f t="shared" si="186"/>
        <v>3374.342358</v>
      </c>
      <c r="E161" s="31">
        <f t="shared" si="187"/>
        <v>1222.916022</v>
      </c>
      <c r="F161" s="31">
        <f t="shared" si="188"/>
        <v>10983.59761</v>
      </c>
      <c r="G161" s="31">
        <f t="shared" si="189"/>
        <v>2377.892265</v>
      </c>
      <c r="H161" s="31">
        <f t="shared" si="190"/>
        <v>803.9540517</v>
      </c>
      <c r="I161" s="31">
        <f t="shared" si="191"/>
        <v>498.2250461</v>
      </c>
      <c r="J161" s="31">
        <f t="shared" si="192"/>
        <v>45.29318601</v>
      </c>
      <c r="K161" s="31">
        <f t="shared" si="193"/>
        <v>60840.07211</v>
      </c>
      <c r="L161" s="31">
        <f t="shared" si="194"/>
        <v>2547.741713</v>
      </c>
      <c r="M161" s="31">
        <f t="shared" si="195"/>
        <v>6884.564273</v>
      </c>
      <c r="N161" s="31">
        <f t="shared" si="196"/>
        <v>758.6608657</v>
      </c>
      <c r="O161" s="31">
        <f t="shared" si="197"/>
        <v>2525.09512</v>
      </c>
      <c r="P161" s="31">
        <f t="shared" si="198"/>
        <v>1381.442173</v>
      </c>
      <c r="Q161" s="31">
        <f t="shared" si="199"/>
        <v>45.29318601</v>
      </c>
      <c r="R161" s="31" t="str">
        <f t="shared" si="200"/>
        <v/>
      </c>
      <c r="S161" s="31" t="str">
        <f t="shared" si="201"/>
        <v/>
      </c>
      <c r="T161" s="31" t="str">
        <f t="shared" si="202"/>
        <v/>
      </c>
      <c r="U161" s="31" t="str">
        <f t="shared" si="203"/>
        <v/>
      </c>
      <c r="V161" s="31" t="str">
        <f t="shared" si="204"/>
        <v/>
      </c>
      <c r="W161" s="47">
        <f t="shared" si="205"/>
        <v>113255.6116</v>
      </c>
    </row>
    <row r="162" ht="15.75" customHeight="1">
      <c r="A162" s="46">
        <f t="shared" si="183"/>
        <v>2047</v>
      </c>
      <c r="B162" s="47">
        <f t="shared" si="184"/>
        <v>113074.7036</v>
      </c>
      <c r="C162" s="31">
        <f t="shared" si="185"/>
        <v>18936.2256</v>
      </c>
      <c r="D162" s="31">
        <f t="shared" si="186"/>
        <v>3368.952376</v>
      </c>
      <c r="E162" s="31">
        <f t="shared" si="187"/>
        <v>1220.962606</v>
      </c>
      <c r="F162" s="31">
        <f t="shared" si="188"/>
        <v>10966.05304</v>
      </c>
      <c r="G162" s="31">
        <f t="shared" si="189"/>
        <v>2374.093956</v>
      </c>
      <c r="H162" s="31">
        <f t="shared" si="190"/>
        <v>802.6698614</v>
      </c>
      <c r="I162" s="31">
        <f t="shared" si="191"/>
        <v>497.4292099</v>
      </c>
      <c r="J162" s="31">
        <f t="shared" si="192"/>
        <v>45.22083726</v>
      </c>
      <c r="K162" s="31">
        <f t="shared" si="193"/>
        <v>60742.88965</v>
      </c>
      <c r="L162" s="31">
        <f t="shared" si="194"/>
        <v>2543.672096</v>
      </c>
      <c r="M162" s="31">
        <f t="shared" si="195"/>
        <v>6873.567264</v>
      </c>
      <c r="N162" s="31">
        <f t="shared" si="196"/>
        <v>757.4490241</v>
      </c>
      <c r="O162" s="31">
        <f t="shared" si="197"/>
        <v>2521.061677</v>
      </c>
      <c r="P162" s="31">
        <f t="shared" si="198"/>
        <v>1379.235536</v>
      </c>
      <c r="Q162" s="31">
        <f t="shared" si="199"/>
        <v>45.22083726</v>
      </c>
      <c r="R162" s="31" t="str">
        <f t="shared" si="200"/>
        <v/>
      </c>
      <c r="S162" s="31" t="str">
        <f t="shared" si="201"/>
        <v/>
      </c>
      <c r="T162" s="31" t="str">
        <f t="shared" si="202"/>
        <v/>
      </c>
      <c r="U162" s="31" t="str">
        <f t="shared" si="203"/>
        <v/>
      </c>
      <c r="V162" s="31" t="str">
        <f t="shared" si="204"/>
        <v/>
      </c>
      <c r="W162" s="47">
        <f t="shared" si="205"/>
        <v>113074.7036</v>
      </c>
    </row>
    <row r="163" ht="15.75" customHeight="1">
      <c r="A163" s="46">
        <f t="shared" si="183"/>
        <v>2048</v>
      </c>
      <c r="B163" s="47">
        <f t="shared" si="184"/>
        <v>112894.0845</v>
      </c>
      <c r="C163" s="31">
        <f t="shared" si="185"/>
        <v>18905.97796</v>
      </c>
      <c r="D163" s="31">
        <f t="shared" si="186"/>
        <v>3363.571004</v>
      </c>
      <c r="E163" s="31">
        <f t="shared" si="187"/>
        <v>1219.01231</v>
      </c>
      <c r="F163" s="31">
        <f t="shared" si="188"/>
        <v>10948.53649</v>
      </c>
      <c r="G163" s="31">
        <f t="shared" si="189"/>
        <v>2370.301714</v>
      </c>
      <c r="H163" s="31">
        <f t="shared" si="190"/>
        <v>801.3877224</v>
      </c>
      <c r="I163" s="31">
        <f t="shared" si="191"/>
        <v>496.6346449</v>
      </c>
      <c r="J163" s="31">
        <f t="shared" si="192"/>
        <v>45.14860408</v>
      </c>
      <c r="K163" s="31">
        <f t="shared" si="193"/>
        <v>60645.86243</v>
      </c>
      <c r="L163" s="31">
        <f t="shared" si="194"/>
        <v>2539.608979</v>
      </c>
      <c r="M163" s="31">
        <f t="shared" si="195"/>
        <v>6862.58782</v>
      </c>
      <c r="N163" s="31">
        <f t="shared" si="196"/>
        <v>756.2391183</v>
      </c>
      <c r="O163" s="31">
        <f t="shared" si="197"/>
        <v>2517.034677</v>
      </c>
      <c r="P163" s="31">
        <f t="shared" si="198"/>
        <v>1377.032424</v>
      </c>
      <c r="Q163" s="31">
        <f t="shared" si="199"/>
        <v>45.14860408</v>
      </c>
      <c r="R163" s="31" t="str">
        <f t="shared" si="200"/>
        <v/>
      </c>
      <c r="S163" s="31" t="str">
        <f t="shared" si="201"/>
        <v/>
      </c>
      <c r="T163" s="31" t="str">
        <f t="shared" si="202"/>
        <v/>
      </c>
      <c r="U163" s="31" t="str">
        <f t="shared" si="203"/>
        <v/>
      </c>
      <c r="V163" s="31" t="str">
        <f t="shared" si="204"/>
        <v/>
      </c>
      <c r="W163" s="47">
        <f t="shared" si="205"/>
        <v>112894.0845</v>
      </c>
    </row>
    <row r="164" ht="15.75" customHeight="1">
      <c r="A164" s="46">
        <f t="shared" si="183"/>
        <v>2049</v>
      </c>
      <c r="B164" s="47">
        <f t="shared" si="184"/>
        <v>112713.7539</v>
      </c>
      <c r="C164" s="31">
        <f t="shared" si="185"/>
        <v>18875.77863</v>
      </c>
      <c r="D164" s="31">
        <f t="shared" si="186"/>
        <v>3358.198228</v>
      </c>
      <c r="E164" s="31">
        <f t="shared" si="187"/>
        <v>1217.065129</v>
      </c>
      <c r="F164" s="31">
        <f t="shared" si="188"/>
        <v>10931.04792</v>
      </c>
      <c r="G164" s="31">
        <f t="shared" si="189"/>
        <v>2366.51553</v>
      </c>
      <c r="H164" s="31">
        <f t="shared" si="190"/>
        <v>800.1076314</v>
      </c>
      <c r="I164" s="31">
        <f t="shared" si="191"/>
        <v>495.8413491</v>
      </c>
      <c r="J164" s="31">
        <f t="shared" si="192"/>
        <v>45.07648628</v>
      </c>
      <c r="K164" s="31">
        <f t="shared" si="193"/>
        <v>60548.99019</v>
      </c>
      <c r="L164" s="31">
        <f t="shared" si="194"/>
        <v>2535.552353</v>
      </c>
      <c r="M164" s="31">
        <f t="shared" si="195"/>
        <v>6851.625914</v>
      </c>
      <c r="N164" s="31">
        <f t="shared" si="196"/>
        <v>755.0311451</v>
      </c>
      <c r="O164" s="31">
        <f t="shared" si="197"/>
        <v>2513.01411</v>
      </c>
      <c r="P164" s="31">
        <f t="shared" si="198"/>
        <v>1374.832831</v>
      </c>
      <c r="Q164" s="31">
        <f t="shared" si="199"/>
        <v>45.07648628</v>
      </c>
      <c r="R164" s="31" t="str">
        <f t="shared" si="200"/>
        <v/>
      </c>
      <c r="S164" s="31" t="str">
        <f t="shared" si="201"/>
        <v/>
      </c>
      <c r="T164" s="31" t="str">
        <f t="shared" si="202"/>
        <v/>
      </c>
      <c r="U164" s="31" t="str">
        <f t="shared" si="203"/>
        <v/>
      </c>
      <c r="V164" s="31" t="str">
        <f t="shared" si="204"/>
        <v/>
      </c>
      <c r="W164" s="47">
        <f t="shared" si="205"/>
        <v>112713.7539</v>
      </c>
    </row>
    <row r="165" ht="15.75" customHeight="1">
      <c r="A165" s="46">
        <f t="shared" si="183"/>
        <v>2050</v>
      </c>
      <c r="B165" s="47">
        <f t="shared" si="184"/>
        <v>112533.7114</v>
      </c>
      <c r="C165" s="31">
        <f t="shared" si="185"/>
        <v>18845.62754</v>
      </c>
      <c r="D165" s="31">
        <f t="shared" si="186"/>
        <v>3352.834034</v>
      </c>
      <c r="E165" s="31">
        <f t="shared" si="187"/>
        <v>1215.121059</v>
      </c>
      <c r="F165" s="31">
        <f t="shared" si="188"/>
        <v>10913.58729</v>
      </c>
      <c r="G165" s="31">
        <f t="shared" si="189"/>
        <v>2362.735393</v>
      </c>
      <c r="H165" s="31">
        <f t="shared" si="190"/>
        <v>798.8295852</v>
      </c>
      <c r="I165" s="31">
        <f t="shared" si="191"/>
        <v>495.0493204</v>
      </c>
      <c r="J165" s="31">
        <f t="shared" si="192"/>
        <v>45.00448367</v>
      </c>
      <c r="K165" s="31">
        <f t="shared" si="193"/>
        <v>60452.27269</v>
      </c>
      <c r="L165" s="31">
        <f t="shared" si="194"/>
        <v>2531.502207</v>
      </c>
      <c r="M165" s="31">
        <f t="shared" si="195"/>
        <v>6840.681518</v>
      </c>
      <c r="N165" s="31">
        <f t="shared" si="196"/>
        <v>753.8251015</v>
      </c>
      <c r="O165" s="31">
        <f t="shared" si="197"/>
        <v>2508.999965</v>
      </c>
      <c r="P165" s="31">
        <f t="shared" si="198"/>
        <v>1372.636752</v>
      </c>
      <c r="Q165" s="31">
        <f t="shared" si="199"/>
        <v>45.00448367</v>
      </c>
      <c r="R165" s="31" t="str">
        <f t="shared" si="200"/>
        <v/>
      </c>
      <c r="S165" s="31" t="str">
        <f t="shared" si="201"/>
        <v/>
      </c>
      <c r="T165" s="31" t="str">
        <f t="shared" si="202"/>
        <v/>
      </c>
      <c r="U165" s="31" t="str">
        <f t="shared" si="203"/>
        <v/>
      </c>
      <c r="V165" s="31" t="str">
        <f t="shared" si="204"/>
        <v/>
      </c>
      <c r="W165" s="47">
        <f t="shared" si="205"/>
        <v>112533.7114</v>
      </c>
    </row>
    <row r="166" ht="15.75" customHeight="1">
      <c r="A166" s="46">
        <f t="shared" si="183"/>
        <v>2051</v>
      </c>
      <c r="B166" s="47">
        <f t="shared" si="184"/>
        <v>112353.9565</v>
      </c>
      <c r="C166" s="31">
        <f t="shared" si="185"/>
        <v>18815.52461</v>
      </c>
      <c r="D166" s="31">
        <f t="shared" si="186"/>
        <v>3347.478408</v>
      </c>
      <c r="E166" s="31">
        <f t="shared" si="187"/>
        <v>1213.180094</v>
      </c>
      <c r="F166" s="31">
        <f t="shared" si="188"/>
        <v>10896.15455</v>
      </c>
      <c r="G166" s="31">
        <f t="shared" si="189"/>
        <v>2358.961294</v>
      </c>
      <c r="H166" s="31">
        <f t="shared" si="190"/>
        <v>797.5535804</v>
      </c>
      <c r="I166" s="31">
        <f t="shared" si="191"/>
        <v>494.2585569</v>
      </c>
      <c r="J166" s="31">
        <f t="shared" si="192"/>
        <v>44.93259608</v>
      </c>
      <c r="K166" s="31">
        <f t="shared" si="193"/>
        <v>60355.70969</v>
      </c>
      <c r="L166" s="31">
        <f t="shared" si="194"/>
        <v>2527.45853</v>
      </c>
      <c r="M166" s="31">
        <f t="shared" si="195"/>
        <v>6829.754604</v>
      </c>
      <c r="N166" s="31">
        <f t="shared" si="196"/>
        <v>752.6209844</v>
      </c>
      <c r="O166" s="31">
        <f t="shared" si="197"/>
        <v>2504.992232</v>
      </c>
      <c r="P166" s="31">
        <f t="shared" si="198"/>
        <v>1370.44418</v>
      </c>
      <c r="Q166" s="31">
        <f t="shared" si="199"/>
        <v>44.93259608</v>
      </c>
      <c r="R166" s="31" t="str">
        <f t="shared" si="200"/>
        <v/>
      </c>
      <c r="S166" s="31" t="str">
        <f t="shared" si="201"/>
        <v/>
      </c>
      <c r="T166" s="31" t="str">
        <f t="shared" si="202"/>
        <v/>
      </c>
      <c r="U166" s="31" t="str">
        <f t="shared" si="203"/>
        <v/>
      </c>
      <c r="V166" s="31" t="str">
        <f t="shared" si="204"/>
        <v/>
      </c>
      <c r="W166" s="47">
        <f t="shared" si="205"/>
        <v>112353.9565</v>
      </c>
    </row>
    <row r="167" ht="15.75" customHeight="1">
      <c r="A167" s="46">
        <f t="shared" si="183"/>
        <v>2052</v>
      </c>
      <c r="B167" s="47">
        <f t="shared" si="184"/>
        <v>112174.4887</v>
      </c>
      <c r="C167" s="31">
        <f t="shared" si="185"/>
        <v>18785.46976</v>
      </c>
      <c r="D167" s="31">
        <f t="shared" si="186"/>
        <v>3342.131337</v>
      </c>
      <c r="E167" s="31">
        <f t="shared" si="187"/>
        <v>1211.24223</v>
      </c>
      <c r="F167" s="31">
        <f t="shared" si="188"/>
        <v>10878.74965</v>
      </c>
      <c r="G167" s="31">
        <f t="shared" si="189"/>
        <v>2355.193224</v>
      </c>
      <c r="H167" s="31">
        <f t="shared" si="190"/>
        <v>796.2796139</v>
      </c>
      <c r="I167" s="31">
        <f t="shared" si="191"/>
        <v>493.4690565</v>
      </c>
      <c r="J167" s="31">
        <f t="shared" si="192"/>
        <v>44.86082332</v>
      </c>
      <c r="K167" s="31">
        <f t="shared" si="193"/>
        <v>60259.30092</v>
      </c>
      <c r="L167" s="31">
        <f t="shared" si="194"/>
        <v>2523.421312</v>
      </c>
      <c r="M167" s="31">
        <f t="shared" si="195"/>
        <v>6818.845144</v>
      </c>
      <c r="N167" s="31">
        <f t="shared" si="196"/>
        <v>751.4187906</v>
      </c>
      <c r="O167" s="31">
        <f t="shared" si="197"/>
        <v>2500.9909</v>
      </c>
      <c r="P167" s="31">
        <f t="shared" si="198"/>
        <v>1368.255111</v>
      </c>
      <c r="Q167" s="31">
        <f t="shared" si="199"/>
        <v>44.86082332</v>
      </c>
      <c r="R167" s="31" t="str">
        <f t="shared" si="200"/>
        <v/>
      </c>
      <c r="S167" s="31" t="str">
        <f t="shared" si="201"/>
        <v/>
      </c>
      <c r="T167" s="31" t="str">
        <f t="shared" si="202"/>
        <v/>
      </c>
      <c r="U167" s="31" t="str">
        <f t="shared" si="203"/>
        <v/>
      </c>
      <c r="V167" s="31" t="str">
        <f t="shared" si="204"/>
        <v/>
      </c>
      <c r="W167" s="47">
        <f t="shared" si="205"/>
        <v>112174.4887</v>
      </c>
    </row>
    <row r="168" ht="15.75" customHeight="1">
      <c r="A168" s="46">
        <f t="shared" si="183"/>
        <v>2053</v>
      </c>
      <c r="B168" s="47">
        <f t="shared" si="184"/>
        <v>111995.3076</v>
      </c>
      <c r="C168" s="31">
        <f t="shared" si="185"/>
        <v>18755.46293</v>
      </c>
      <c r="D168" s="31">
        <f t="shared" si="186"/>
        <v>3336.792808</v>
      </c>
      <c r="E168" s="31">
        <f t="shared" si="187"/>
        <v>1209.30746</v>
      </c>
      <c r="F168" s="31">
        <f t="shared" si="188"/>
        <v>10861.37256</v>
      </c>
      <c r="G168" s="31">
        <f t="shared" si="189"/>
        <v>2351.431173</v>
      </c>
      <c r="H168" s="31">
        <f t="shared" si="190"/>
        <v>795.0076823</v>
      </c>
      <c r="I168" s="31">
        <f t="shared" si="191"/>
        <v>492.6808172</v>
      </c>
      <c r="J168" s="31">
        <f t="shared" si="192"/>
        <v>44.7891652</v>
      </c>
      <c r="K168" s="31">
        <f t="shared" si="193"/>
        <v>60163.04616</v>
      </c>
      <c r="L168" s="31">
        <f t="shared" si="194"/>
        <v>2519.390543</v>
      </c>
      <c r="M168" s="31">
        <f t="shared" si="195"/>
        <v>6807.953111</v>
      </c>
      <c r="N168" s="31">
        <f t="shared" si="196"/>
        <v>750.2185171</v>
      </c>
      <c r="O168" s="31">
        <f t="shared" si="197"/>
        <v>2496.99596</v>
      </c>
      <c r="P168" s="31">
        <f t="shared" si="198"/>
        <v>1366.069539</v>
      </c>
      <c r="Q168" s="31">
        <f t="shared" si="199"/>
        <v>44.7891652</v>
      </c>
      <c r="R168" s="31" t="str">
        <f t="shared" si="200"/>
        <v/>
      </c>
      <c r="S168" s="31" t="str">
        <f t="shared" si="201"/>
        <v/>
      </c>
      <c r="T168" s="31" t="str">
        <f t="shared" si="202"/>
        <v/>
      </c>
      <c r="U168" s="31" t="str">
        <f t="shared" si="203"/>
        <v/>
      </c>
      <c r="V168" s="31" t="str">
        <f t="shared" si="204"/>
        <v/>
      </c>
      <c r="W168" s="47">
        <f t="shared" si="205"/>
        <v>111995.3076</v>
      </c>
    </row>
    <row r="169" ht="15.75" customHeight="1">
      <c r="A169" s="46">
        <f t="shared" si="183"/>
        <v>2054</v>
      </c>
      <c r="B169" s="47">
        <f t="shared" si="184"/>
        <v>111816.4127</v>
      </c>
      <c r="C169" s="31">
        <f t="shared" si="185"/>
        <v>18725.50402</v>
      </c>
      <c r="D169" s="31">
        <f t="shared" si="186"/>
        <v>3331.462805</v>
      </c>
      <c r="E169" s="31">
        <f t="shared" si="187"/>
        <v>1207.375782</v>
      </c>
      <c r="F169" s="31">
        <f t="shared" si="188"/>
        <v>10844.02323</v>
      </c>
      <c r="G169" s="31">
        <f t="shared" si="189"/>
        <v>2347.675131</v>
      </c>
      <c r="H169" s="31">
        <f t="shared" si="190"/>
        <v>793.7377825</v>
      </c>
      <c r="I169" s="31">
        <f t="shared" si="191"/>
        <v>491.893837</v>
      </c>
      <c r="J169" s="31">
        <f t="shared" si="192"/>
        <v>44.71762155</v>
      </c>
      <c r="K169" s="31">
        <f t="shared" si="193"/>
        <v>60066.94514</v>
      </c>
      <c r="L169" s="31">
        <f t="shared" si="194"/>
        <v>2515.366212</v>
      </c>
      <c r="M169" s="31">
        <f t="shared" si="195"/>
        <v>6797.078475</v>
      </c>
      <c r="N169" s="31">
        <f t="shared" si="196"/>
        <v>749.0201609</v>
      </c>
      <c r="O169" s="31">
        <f t="shared" si="197"/>
        <v>2493.007401</v>
      </c>
      <c r="P169" s="31">
        <f t="shared" si="198"/>
        <v>1363.887457</v>
      </c>
      <c r="Q169" s="31">
        <f t="shared" si="199"/>
        <v>44.71762155</v>
      </c>
      <c r="R169" s="31" t="str">
        <f t="shared" si="200"/>
        <v/>
      </c>
      <c r="S169" s="31" t="str">
        <f t="shared" si="201"/>
        <v/>
      </c>
      <c r="T169" s="31" t="str">
        <f t="shared" si="202"/>
        <v/>
      </c>
      <c r="U169" s="31" t="str">
        <f t="shared" si="203"/>
        <v/>
      </c>
      <c r="V169" s="31" t="str">
        <f t="shared" si="204"/>
        <v/>
      </c>
      <c r="W169" s="47">
        <f t="shared" si="205"/>
        <v>111816.4127</v>
      </c>
    </row>
    <row r="170" ht="15.75" customHeight="1">
      <c r="A170" s="50" t="str">
        <f>"Total "&amp;$A$56&amp;"–"&amp;$A$80&amp;" (t)"</f>
        <v>Total 2030–2054 (t)</v>
      </c>
      <c r="B170" s="52">
        <f>SUM(B145:B169)</f>
        <v>2849742.912</v>
      </c>
      <c r="C170" s="52">
        <f t="shared" ref="C170:V170" si="206">IF(C$144="","",SUM(C145:C169))</f>
        <v>477236.4905</v>
      </c>
      <c r="D170" s="52">
        <f t="shared" si="206"/>
        <v>84905.35772</v>
      </c>
      <c r="E170" s="52">
        <f t="shared" si="206"/>
        <v>30771.06924</v>
      </c>
      <c r="F170" s="52">
        <f t="shared" si="206"/>
        <v>276369.7885</v>
      </c>
      <c r="G170" s="52">
        <f t="shared" si="206"/>
        <v>59832.63463</v>
      </c>
      <c r="H170" s="52">
        <f t="shared" si="206"/>
        <v>20229.12885</v>
      </c>
      <c r="I170" s="52">
        <f t="shared" si="206"/>
        <v>12536.36154</v>
      </c>
      <c r="J170" s="52">
        <f t="shared" si="206"/>
        <v>1139.669231</v>
      </c>
      <c r="K170" s="52">
        <f t="shared" si="206"/>
        <v>1530860.695</v>
      </c>
      <c r="L170" s="52">
        <f t="shared" si="206"/>
        <v>64106.39425</v>
      </c>
      <c r="M170" s="52">
        <f t="shared" si="206"/>
        <v>173229.7231</v>
      </c>
      <c r="N170" s="52">
        <f t="shared" si="206"/>
        <v>19089.45962</v>
      </c>
      <c r="O170" s="52">
        <f t="shared" si="206"/>
        <v>63536.55963</v>
      </c>
      <c r="P170" s="52">
        <f t="shared" si="206"/>
        <v>34759.91155</v>
      </c>
      <c r="Q170" s="52">
        <f t="shared" si="206"/>
        <v>1139.669231</v>
      </c>
      <c r="R170" s="52" t="str">
        <f t="shared" si="206"/>
        <v/>
      </c>
      <c r="S170" s="52" t="str">
        <f t="shared" si="206"/>
        <v/>
      </c>
      <c r="T170" s="52" t="str">
        <f t="shared" si="206"/>
        <v/>
      </c>
      <c r="U170" s="52" t="str">
        <f t="shared" si="206"/>
        <v/>
      </c>
      <c r="V170" s="52" t="str">
        <f t="shared" si="206"/>
        <v/>
      </c>
      <c r="W170" s="52">
        <f>SUM(W145:W169)</f>
        <v>2849742.912</v>
      </c>
    </row>
    <row r="171" ht="15.75" customHeight="1"/>
    <row r="172" ht="15.75" customHeight="1">
      <c r="A172" s="65" t="str">
        <f>C$25</f>
        <v>Çekmeköy</v>
      </c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3"/>
      <c r="X172" s="45"/>
      <c r="Y172" s="45"/>
      <c r="Z172" s="45"/>
    </row>
    <row r="173" ht="43.5" customHeight="1">
      <c r="A173" s="44" t="s">
        <v>31</v>
      </c>
      <c r="B173" s="44" t="s">
        <v>89</v>
      </c>
      <c r="C173" s="44" t="str">
        <f>IF($A$87="","",$A$87)</f>
        <v>Paper &amp; cardboard</v>
      </c>
      <c r="D173" s="44" t="str">
        <f>IF($A$88="","",$A$88)</f>
        <v>Glass</v>
      </c>
      <c r="E173" s="44" t="str">
        <f>IF($A$89="","",$A$89)</f>
        <v>PET</v>
      </c>
      <c r="F173" s="44" t="str">
        <f>IF($A$90="","",$A$90)</f>
        <v>Plastic bags</v>
      </c>
      <c r="G173" s="44" t="str">
        <f>IF($A$91="","",$A$91)</f>
        <v>Plastic</v>
      </c>
      <c r="H173" s="44" t="str">
        <f>IF($A$92="","",$A$92)</f>
        <v>Ferrous metal</v>
      </c>
      <c r="I173" s="44" t="str">
        <f>IF($A$93="","",$A$93)</f>
        <v>Aluminum</v>
      </c>
      <c r="J173" s="44" t="str">
        <f>IF($A$94="","",$A$94)</f>
        <v>Other metals</v>
      </c>
      <c r="K173" s="44" t="str">
        <f>IF($A$95="","",$A$95)</f>
        <v>Organic matter</v>
      </c>
      <c r="L173" s="44" t="str">
        <f>IF($A$96="","",$A$96)</f>
        <v>Textile</v>
      </c>
      <c r="M173" s="44" t="str">
        <f>IF($A$97="","",$A$97)</f>
        <v>Diapers</v>
      </c>
      <c r="N173" s="44" t="str">
        <f>IF($A$98="","",$A$98)</f>
        <v>Tetra Pak</v>
      </c>
      <c r="O173" s="44" t="str">
        <f>IF($A$99="","",$A$99)</f>
        <v>Other combustible</v>
      </c>
      <c r="P173" s="44" t="str">
        <f>IF($A$100="","",$A$100)</f>
        <v>Other non-combustible</v>
      </c>
      <c r="Q173" s="44" t="str">
        <f>IF($A$101="","",$A$101)</f>
        <v>Electrical/electronic waste</v>
      </c>
      <c r="R173" s="44" t="str">
        <f>IF($A$102="","",$A$102)</f>
        <v/>
      </c>
      <c r="S173" s="44" t="str">
        <f>IF($A$103="","",$A$103)</f>
        <v/>
      </c>
      <c r="T173" s="44" t="str">
        <f>IF($A$104="","",$A$104)</f>
        <v/>
      </c>
      <c r="U173" s="44" t="str">
        <f>IF($A$105="","",$A$105)</f>
        <v/>
      </c>
      <c r="V173" s="44" t="str">
        <f>IF($A$106="","",$A$106)</f>
        <v/>
      </c>
      <c r="W173" s="44" t="s">
        <v>90</v>
      </c>
      <c r="X173" s="45"/>
      <c r="Y173" s="45"/>
      <c r="Z173" s="45"/>
    </row>
    <row r="174" ht="15.75" customHeight="1">
      <c r="A174" s="46">
        <f t="shared" ref="A174:A198" si="207">A56</f>
        <v>2030</v>
      </c>
      <c r="B174" s="47">
        <f t="shared" ref="B174:B198" si="208">O56</f>
        <v>173801.3202</v>
      </c>
      <c r="C174" s="31">
        <f t="shared" ref="C174:C198" si="209">IF(C$173="","",$B174*$D$87/100)</f>
        <v>29105.89995</v>
      </c>
      <c r="D174" s="31">
        <f t="shared" ref="D174:D198" si="210">IF(D$173="","",$B174*$D$88/100)</f>
        <v>5178.243692</v>
      </c>
      <c r="E174" s="31">
        <f t="shared" ref="E174:E198" si="211">IF(E$173="","",$B174*$D$89/100)</f>
        <v>1876.678922</v>
      </c>
      <c r="F174" s="31">
        <f t="shared" ref="F174:F198" si="212">IF(F$173="","",$B174*$D$90/100)</f>
        <v>16855.35698</v>
      </c>
      <c r="G174" s="31">
        <f t="shared" ref="G174:G198" si="213">IF(G$173="","",$B174*$D$91/100)</f>
        <v>3649.097904</v>
      </c>
      <c r="H174" s="31">
        <f t="shared" ref="H174:H198" si="214">IF(H$173="","",$B174*$D$92/100)</f>
        <v>1233.742625</v>
      </c>
      <c r="I174" s="31">
        <f t="shared" ref="I174:I198" si="215">IF(I$173="","",$B174*$D$93/100)</f>
        <v>764.5728941</v>
      </c>
      <c r="J174" s="31">
        <f t="shared" ref="J174:J198" si="216">IF(J$173="","",$B174*$D$94/100)</f>
        <v>69.50662674</v>
      </c>
      <c r="K174" s="31">
        <f t="shared" ref="K174:K198" si="217">IF(K$173="","",$B174*$D$95/100)</f>
        <v>93364.77636</v>
      </c>
      <c r="L174" s="31">
        <f t="shared" ref="L174:L198" si="218">IF(L$173="","",$B174*$D$96/100)</f>
        <v>3909.747754</v>
      </c>
      <c r="M174" s="31">
        <f t="shared" ref="M174:M198" si="219">IF(M$173="","",$B174*$D$97/100)</f>
        <v>10565.00726</v>
      </c>
      <c r="N174" s="31">
        <f t="shared" ref="N174:N198" si="220">IF(N$173="","",$B174*$D$98/100)</f>
        <v>1164.235998</v>
      </c>
      <c r="O174" s="31">
        <f t="shared" ref="O174:O198" si="221">IF(O$173="","",$B174*$D$99/100)</f>
        <v>3874.99444</v>
      </c>
      <c r="P174" s="31">
        <f t="shared" ref="P174:P198" si="222">IF(P$173="","",$B174*$D$100/100)</f>
        <v>2119.952115</v>
      </c>
      <c r="Q174" s="31">
        <f t="shared" ref="Q174:Q198" si="223">IF(Q$173="","",$B174*$D$101/100)</f>
        <v>69.50662674</v>
      </c>
      <c r="R174" s="31" t="str">
        <f t="shared" ref="R174:R198" si="224">IF(R$173="","",$B174*$D$102/100)</f>
        <v/>
      </c>
      <c r="S174" s="31" t="str">
        <f t="shared" ref="S174:S198" si="225">IF(S$173="","",$B174*$D$103/100)</f>
        <v/>
      </c>
      <c r="T174" s="31" t="str">
        <f t="shared" ref="T174:T198" si="226">IF(T$173="","",$B174*$D$104/100)</f>
        <v/>
      </c>
      <c r="U174" s="31" t="str">
        <f t="shared" ref="U174:U198" si="227">IF(U$173="","",$B174*$D$105/100)</f>
        <v/>
      </c>
      <c r="V174" s="31" t="str">
        <f t="shared" ref="V174:V198" si="228">IF(V$173="","",$B174*$D$106/100)</f>
        <v/>
      </c>
      <c r="W174" s="47">
        <f t="shared" ref="W174:W198" si="229">SUM(C174:V174)</f>
        <v>173801.3202</v>
      </c>
    </row>
    <row r="175" ht="15.75" customHeight="1">
      <c r="A175" s="46">
        <f t="shared" si="207"/>
        <v>2031</v>
      </c>
      <c r="B175" s="47">
        <f t="shared" si="208"/>
        <v>179015.3598</v>
      </c>
      <c r="C175" s="31">
        <f t="shared" si="209"/>
        <v>29979.07694</v>
      </c>
      <c r="D175" s="31">
        <f t="shared" si="210"/>
        <v>5333.591003</v>
      </c>
      <c r="E175" s="31">
        <f t="shared" si="211"/>
        <v>1932.97929</v>
      </c>
      <c r="F175" s="31">
        <f t="shared" si="212"/>
        <v>17361.01769</v>
      </c>
      <c r="G175" s="31">
        <f t="shared" si="213"/>
        <v>3758.570841</v>
      </c>
      <c r="H175" s="31">
        <f t="shared" si="214"/>
        <v>1270.754903</v>
      </c>
      <c r="I175" s="31">
        <f t="shared" si="215"/>
        <v>787.5100809</v>
      </c>
      <c r="J175" s="31">
        <f t="shared" si="216"/>
        <v>71.59182554</v>
      </c>
      <c r="K175" s="31">
        <f t="shared" si="217"/>
        <v>96165.71965</v>
      </c>
      <c r="L175" s="31">
        <f t="shared" si="218"/>
        <v>4027.040186</v>
      </c>
      <c r="M175" s="31">
        <f t="shared" si="219"/>
        <v>10881.95748</v>
      </c>
      <c r="N175" s="31">
        <f t="shared" si="220"/>
        <v>1199.163078</v>
      </c>
      <c r="O175" s="31">
        <f t="shared" si="221"/>
        <v>3991.244274</v>
      </c>
      <c r="P175" s="31">
        <f t="shared" si="222"/>
        <v>2183.550679</v>
      </c>
      <c r="Q175" s="31">
        <f t="shared" si="223"/>
        <v>71.59182554</v>
      </c>
      <c r="R175" s="31" t="str">
        <f t="shared" si="224"/>
        <v/>
      </c>
      <c r="S175" s="31" t="str">
        <f t="shared" si="225"/>
        <v/>
      </c>
      <c r="T175" s="31" t="str">
        <f t="shared" si="226"/>
        <v/>
      </c>
      <c r="U175" s="31" t="str">
        <f t="shared" si="227"/>
        <v/>
      </c>
      <c r="V175" s="31" t="str">
        <f t="shared" si="228"/>
        <v/>
      </c>
      <c r="W175" s="47">
        <f t="shared" si="229"/>
        <v>179015.3598</v>
      </c>
    </row>
    <row r="176" ht="15.75" customHeight="1">
      <c r="A176" s="46">
        <f t="shared" si="207"/>
        <v>2032</v>
      </c>
      <c r="B176" s="47">
        <f t="shared" si="208"/>
        <v>184385.8205</v>
      </c>
      <c r="C176" s="31">
        <f t="shared" si="209"/>
        <v>30878.44925</v>
      </c>
      <c r="D176" s="31">
        <f t="shared" si="210"/>
        <v>5493.598733</v>
      </c>
      <c r="E176" s="31">
        <f t="shared" si="211"/>
        <v>1990.968668</v>
      </c>
      <c r="F176" s="31">
        <f t="shared" si="212"/>
        <v>17881.84822</v>
      </c>
      <c r="G176" s="31">
        <f t="shared" si="213"/>
        <v>3871.327966</v>
      </c>
      <c r="H176" s="31">
        <f t="shared" si="214"/>
        <v>1308.87755</v>
      </c>
      <c r="I176" s="31">
        <f t="shared" si="215"/>
        <v>811.1353833</v>
      </c>
      <c r="J176" s="31">
        <f t="shared" si="216"/>
        <v>73.7395803</v>
      </c>
      <c r="K176" s="31">
        <f t="shared" si="217"/>
        <v>99050.69124</v>
      </c>
      <c r="L176" s="31">
        <f t="shared" si="218"/>
        <v>4147.851392</v>
      </c>
      <c r="M176" s="31">
        <f t="shared" si="219"/>
        <v>11208.41621</v>
      </c>
      <c r="N176" s="31">
        <f t="shared" si="220"/>
        <v>1235.13797</v>
      </c>
      <c r="O176" s="31">
        <f t="shared" si="221"/>
        <v>4110.981602</v>
      </c>
      <c r="P176" s="31">
        <f t="shared" si="222"/>
        <v>2249.057199</v>
      </c>
      <c r="Q176" s="31">
        <f t="shared" si="223"/>
        <v>73.7395803</v>
      </c>
      <c r="R176" s="31" t="str">
        <f t="shared" si="224"/>
        <v/>
      </c>
      <c r="S176" s="31" t="str">
        <f t="shared" si="225"/>
        <v/>
      </c>
      <c r="T176" s="31" t="str">
        <f t="shared" si="226"/>
        <v/>
      </c>
      <c r="U176" s="31" t="str">
        <f t="shared" si="227"/>
        <v/>
      </c>
      <c r="V176" s="31" t="str">
        <f t="shared" si="228"/>
        <v/>
      </c>
      <c r="W176" s="47">
        <f t="shared" si="229"/>
        <v>184385.8205</v>
      </c>
    </row>
    <row r="177" ht="15.75" customHeight="1">
      <c r="A177" s="46">
        <f t="shared" si="207"/>
        <v>2033</v>
      </c>
      <c r="B177" s="47">
        <f t="shared" si="208"/>
        <v>189917.3952</v>
      </c>
      <c r="C177" s="31">
        <f t="shared" si="209"/>
        <v>31804.80273</v>
      </c>
      <c r="D177" s="31">
        <f t="shared" si="210"/>
        <v>5658.406695</v>
      </c>
      <c r="E177" s="31">
        <f t="shared" si="211"/>
        <v>2050.697728</v>
      </c>
      <c r="F177" s="31">
        <f t="shared" si="212"/>
        <v>18418.30367</v>
      </c>
      <c r="G177" s="31">
        <f t="shared" si="213"/>
        <v>3987.467805</v>
      </c>
      <c r="H177" s="31">
        <f t="shared" si="214"/>
        <v>1348.143877</v>
      </c>
      <c r="I177" s="31">
        <f t="shared" si="215"/>
        <v>835.4694448</v>
      </c>
      <c r="J177" s="31">
        <f t="shared" si="216"/>
        <v>75.95176771</v>
      </c>
      <c r="K177" s="31">
        <f t="shared" si="217"/>
        <v>102022.212</v>
      </c>
      <c r="L177" s="31">
        <f t="shared" si="218"/>
        <v>4272.286934</v>
      </c>
      <c r="M177" s="31">
        <f t="shared" si="219"/>
        <v>11544.66869</v>
      </c>
      <c r="N177" s="31">
        <f t="shared" si="220"/>
        <v>1272.192109</v>
      </c>
      <c r="O177" s="31">
        <f t="shared" si="221"/>
        <v>4234.31105</v>
      </c>
      <c r="P177" s="31">
        <f t="shared" si="222"/>
        <v>2316.528915</v>
      </c>
      <c r="Q177" s="31">
        <f t="shared" si="223"/>
        <v>75.95176771</v>
      </c>
      <c r="R177" s="31" t="str">
        <f t="shared" si="224"/>
        <v/>
      </c>
      <c r="S177" s="31" t="str">
        <f t="shared" si="225"/>
        <v/>
      </c>
      <c r="T177" s="31" t="str">
        <f t="shared" si="226"/>
        <v/>
      </c>
      <c r="U177" s="31" t="str">
        <f t="shared" si="227"/>
        <v/>
      </c>
      <c r="V177" s="31" t="str">
        <f t="shared" si="228"/>
        <v/>
      </c>
      <c r="W177" s="47">
        <f t="shared" si="229"/>
        <v>189917.3952</v>
      </c>
    </row>
    <row r="178" ht="15.75" customHeight="1">
      <c r="A178" s="46">
        <f t="shared" si="207"/>
        <v>2034</v>
      </c>
      <c r="B178" s="47">
        <f t="shared" si="208"/>
        <v>195614.917</v>
      </c>
      <c r="C178" s="31">
        <f t="shared" si="209"/>
        <v>32758.94681</v>
      </c>
      <c r="D178" s="31">
        <f t="shared" si="210"/>
        <v>5828.158895</v>
      </c>
      <c r="E178" s="31">
        <f t="shared" si="211"/>
        <v>2112.21866</v>
      </c>
      <c r="F178" s="31">
        <f t="shared" si="212"/>
        <v>18970.85278</v>
      </c>
      <c r="G178" s="31">
        <f t="shared" si="213"/>
        <v>4107.091839</v>
      </c>
      <c r="H178" s="31">
        <f t="shared" si="214"/>
        <v>1388.588193</v>
      </c>
      <c r="I178" s="31">
        <f t="shared" si="215"/>
        <v>860.5335282</v>
      </c>
      <c r="J178" s="31">
        <f t="shared" si="216"/>
        <v>78.23032074</v>
      </c>
      <c r="K178" s="31">
        <f t="shared" si="217"/>
        <v>105082.8783</v>
      </c>
      <c r="L178" s="31">
        <f t="shared" si="218"/>
        <v>4400.455542</v>
      </c>
      <c r="M178" s="31">
        <f t="shared" si="219"/>
        <v>11891.00875</v>
      </c>
      <c r="N178" s="31">
        <f t="shared" si="220"/>
        <v>1310.357872</v>
      </c>
      <c r="O178" s="31">
        <f t="shared" si="221"/>
        <v>4361.340381</v>
      </c>
      <c r="P178" s="31">
        <f t="shared" si="222"/>
        <v>2386.024783</v>
      </c>
      <c r="Q178" s="31">
        <f t="shared" si="223"/>
        <v>78.23032074</v>
      </c>
      <c r="R178" s="31" t="str">
        <f t="shared" si="224"/>
        <v/>
      </c>
      <c r="S178" s="31" t="str">
        <f t="shared" si="225"/>
        <v/>
      </c>
      <c r="T178" s="31" t="str">
        <f t="shared" si="226"/>
        <v/>
      </c>
      <c r="U178" s="31" t="str">
        <f t="shared" si="227"/>
        <v/>
      </c>
      <c r="V178" s="31" t="str">
        <f t="shared" si="228"/>
        <v/>
      </c>
      <c r="W178" s="47">
        <f t="shared" si="229"/>
        <v>195614.917</v>
      </c>
    </row>
    <row r="179" ht="15.75" customHeight="1">
      <c r="A179" s="46">
        <f t="shared" si="207"/>
        <v>2035</v>
      </c>
      <c r="B179" s="47">
        <f t="shared" si="208"/>
        <v>201483.3645</v>
      </c>
      <c r="C179" s="31">
        <f t="shared" si="209"/>
        <v>33741.71522</v>
      </c>
      <c r="D179" s="31">
        <f t="shared" si="210"/>
        <v>6003.003662</v>
      </c>
      <c r="E179" s="31">
        <f t="shared" si="211"/>
        <v>2175.58522</v>
      </c>
      <c r="F179" s="31">
        <f t="shared" si="212"/>
        <v>19539.97836</v>
      </c>
      <c r="G179" s="31">
        <f t="shared" si="213"/>
        <v>4230.304594</v>
      </c>
      <c r="H179" s="31">
        <f t="shared" si="214"/>
        <v>1430.245839</v>
      </c>
      <c r="I179" s="31">
        <f t="shared" si="215"/>
        <v>886.349534</v>
      </c>
      <c r="J179" s="31">
        <f t="shared" si="216"/>
        <v>80.57723037</v>
      </c>
      <c r="K179" s="31">
        <f t="shared" si="217"/>
        <v>108235.3647</v>
      </c>
      <c r="L179" s="31">
        <f t="shared" si="218"/>
        <v>4532.469208</v>
      </c>
      <c r="M179" s="31">
        <f t="shared" si="219"/>
        <v>12247.73902</v>
      </c>
      <c r="N179" s="31">
        <f t="shared" si="220"/>
        <v>1349.668609</v>
      </c>
      <c r="O179" s="31">
        <f t="shared" si="221"/>
        <v>4492.180593</v>
      </c>
      <c r="P179" s="31">
        <f t="shared" si="222"/>
        <v>2457.605526</v>
      </c>
      <c r="Q179" s="31">
        <f t="shared" si="223"/>
        <v>80.57723037</v>
      </c>
      <c r="R179" s="31" t="str">
        <f t="shared" si="224"/>
        <v/>
      </c>
      <c r="S179" s="31" t="str">
        <f t="shared" si="225"/>
        <v/>
      </c>
      <c r="T179" s="31" t="str">
        <f t="shared" si="226"/>
        <v/>
      </c>
      <c r="U179" s="31" t="str">
        <f t="shared" si="227"/>
        <v/>
      </c>
      <c r="V179" s="31" t="str">
        <f t="shared" si="228"/>
        <v/>
      </c>
      <c r="W179" s="47">
        <f t="shared" si="229"/>
        <v>201483.3645</v>
      </c>
    </row>
    <row r="180" ht="15.75" customHeight="1">
      <c r="A180" s="46">
        <f t="shared" si="207"/>
        <v>2036</v>
      </c>
      <c r="B180" s="47">
        <f t="shared" si="208"/>
        <v>207527.8655</v>
      </c>
      <c r="C180" s="31">
        <f t="shared" si="209"/>
        <v>34753.96667</v>
      </c>
      <c r="D180" s="31">
        <f t="shared" si="210"/>
        <v>6183.093772</v>
      </c>
      <c r="E180" s="31">
        <f t="shared" si="211"/>
        <v>2240.852776</v>
      </c>
      <c r="F180" s="31">
        <f t="shared" si="212"/>
        <v>20126.17771</v>
      </c>
      <c r="G180" s="31">
        <f t="shared" si="213"/>
        <v>4357.213732</v>
      </c>
      <c r="H180" s="31">
        <f t="shared" si="214"/>
        <v>1473.153214</v>
      </c>
      <c r="I180" s="31">
        <f t="shared" si="215"/>
        <v>912.94002</v>
      </c>
      <c r="J180" s="31">
        <f t="shared" si="216"/>
        <v>82.99454728</v>
      </c>
      <c r="K180" s="31">
        <f t="shared" si="217"/>
        <v>111482.4256</v>
      </c>
      <c r="L180" s="31">
        <f t="shared" si="218"/>
        <v>4668.443284</v>
      </c>
      <c r="M180" s="31">
        <f t="shared" si="219"/>
        <v>12615.17119</v>
      </c>
      <c r="N180" s="31">
        <f t="shared" si="220"/>
        <v>1390.158667</v>
      </c>
      <c r="O180" s="31">
        <f t="shared" si="221"/>
        <v>4626.946011</v>
      </c>
      <c r="P180" s="31">
        <f t="shared" si="222"/>
        <v>2531.333692</v>
      </c>
      <c r="Q180" s="31">
        <f t="shared" si="223"/>
        <v>82.99454728</v>
      </c>
      <c r="R180" s="31" t="str">
        <f t="shared" si="224"/>
        <v/>
      </c>
      <c r="S180" s="31" t="str">
        <f t="shared" si="225"/>
        <v/>
      </c>
      <c r="T180" s="31" t="str">
        <f t="shared" si="226"/>
        <v/>
      </c>
      <c r="U180" s="31" t="str">
        <f t="shared" si="227"/>
        <v/>
      </c>
      <c r="V180" s="31" t="str">
        <f t="shared" si="228"/>
        <v/>
      </c>
      <c r="W180" s="47">
        <f t="shared" si="229"/>
        <v>207527.8655</v>
      </c>
    </row>
    <row r="181" ht="15.75" customHeight="1">
      <c r="A181" s="46">
        <f t="shared" si="207"/>
        <v>2037</v>
      </c>
      <c r="B181" s="47">
        <f t="shared" si="208"/>
        <v>213753.7014</v>
      </c>
      <c r="C181" s="31">
        <f t="shared" si="209"/>
        <v>35796.58567</v>
      </c>
      <c r="D181" s="31">
        <f t="shared" si="210"/>
        <v>6368.586585</v>
      </c>
      <c r="E181" s="31">
        <f t="shared" si="211"/>
        <v>2308.07836</v>
      </c>
      <c r="F181" s="31">
        <f t="shared" si="212"/>
        <v>20729.96305</v>
      </c>
      <c r="G181" s="31">
        <f t="shared" si="213"/>
        <v>4487.930144</v>
      </c>
      <c r="H181" s="31">
        <f t="shared" si="214"/>
        <v>1517.347811</v>
      </c>
      <c r="I181" s="31">
        <f t="shared" si="215"/>
        <v>940.3282206</v>
      </c>
      <c r="J181" s="31">
        <f t="shared" si="216"/>
        <v>85.4843837</v>
      </c>
      <c r="K181" s="31">
        <f t="shared" si="217"/>
        <v>114826.8984</v>
      </c>
      <c r="L181" s="31">
        <f t="shared" si="218"/>
        <v>4808.496583</v>
      </c>
      <c r="M181" s="31">
        <f t="shared" si="219"/>
        <v>12993.62632</v>
      </c>
      <c r="N181" s="31">
        <f t="shared" si="220"/>
        <v>1431.863427</v>
      </c>
      <c r="O181" s="31">
        <f t="shared" si="221"/>
        <v>4765.754391</v>
      </c>
      <c r="P181" s="31">
        <f t="shared" si="222"/>
        <v>2607.273703</v>
      </c>
      <c r="Q181" s="31">
        <f t="shared" si="223"/>
        <v>85.4843837</v>
      </c>
      <c r="R181" s="31" t="str">
        <f t="shared" si="224"/>
        <v/>
      </c>
      <c r="S181" s="31" t="str">
        <f t="shared" si="225"/>
        <v/>
      </c>
      <c r="T181" s="31" t="str">
        <f t="shared" si="226"/>
        <v/>
      </c>
      <c r="U181" s="31" t="str">
        <f t="shared" si="227"/>
        <v/>
      </c>
      <c r="V181" s="31" t="str">
        <f t="shared" si="228"/>
        <v/>
      </c>
      <c r="W181" s="47">
        <f t="shared" si="229"/>
        <v>213753.7014</v>
      </c>
    </row>
    <row r="182" ht="15.75" customHeight="1">
      <c r="A182" s="46">
        <f t="shared" si="207"/>
        <v>2038</v>
      </c>
      <c r="B182" s="47">
        <f t="shared" si="208"/>
        <v>220166.3125</v>
      </c>
      <c r="C182" s="31">
        <f t="shared" si="209"/>
        <v>36870.48324</v>
      </c>
      <c r="D182" s="31">
        <f t="shared" si="210"/>
        <v>6559.644183</v>
      </c>
      <c r="E182" s="31">
        <f t="shared" si="211"/>
        <v>2377.320711</v>
      </c>
      <c r="F182" s="31">
        <f t="shared" si="212"/>
        <v>21351.86194</v>
      </c>
      <c r="G182" s="31">
        <f t="shared" si="213"/>
        <v>4622.568048</v>
      </c>
      <c r="H182" s="31">
        <f t="shared" si="214"/>
        <v>1562.868245</v>
      </c>
      <c r="I182" s="31">
        <f t="shared" si="215"/>
        <v>968.5380673</v>
      </c>
      <c r="J182" s="31">
        <f t="shared" si="216"/>
        <v>88.04891521</v>
      </c>
      <c r="K182" s="31">
        <f t="shared" si="217"/>
        <v>118271.7054</v>
      </c>
      <c r="L182" s="31">
        <f t="shared" si="218"/>
        <v>4952.75148</v>
      </c>
      <c r="M182" s="31">
        <f t="shared" si="219"/>
        <v>13383.43511</v>
      </c>
      <c r="N182" s="31">
        <f t="shared" si="220"/>
        <v>1474.81933</v>
      </c>
      <c r="O182" s="31">
        <f t="shared" si="221"/>
        <v>4908.727023</v>
      </c>
      <c r="P182" s="31">
        <f t="shared" si="222"/>
        <v>2685.491914</v>
      </c>
      <c r="Q182" s="31">
        <f t="shared" si="223"/>
        <v>88.04891521</v>
      </c>
      <c r="R182" s="31" t="str">
        <f t="shared" si="224"/>
        <v/>
      </c>
      <c r="S182" s="31" t="str">
        <f t="shared" si="225"/>
        <v/>
      </c>
      <c r="T182" s="31" t="str">
        <f t="shared" si="226"/>
        <v/>
      </c>
      <c r="U182" s="31" t="str">
        <f t="shared" si="227"/>
        <v/>
      </c>
      <c r="V182" s="31" t="str">
        <f t="shared" si="228"/>
        <v/>
      </c>
      <c r="W182" s="47">
        <f t="shared" si="229"/>
        <v>220166.3125</v>
      </c>
    </row>
    <row r="183" ht="15.75" customHeight="1">
      <c r="A183" s="46">
        <f t="shared" si="207"/>
        <v>2039</v>
      </c>
      <c r="B183" s="47">
        <f t="shared" si="208"/>
        <v>226771.3018</v>
      </c>
      <c r="C183" s="31">
        <f t="shared" si="209"/>
        <v>37976.59774</v>
      </c>
      <c r="D183" s="31">
        <f t="shared" si="210"/>
        <v>6756.433508</v>
      </c>
      <c r="E183" s="31">
        <f t="shared" si="211"/>
        <v>2448.640332</v>
      </c>
      <c r="F183" s="31">
        <f t="shared" si="212"/>
        <v>21992.4178</v>
      </c>
      <c r="G183" s="31">
        <f t="shared" si="213"/>
        <v>4761.24509</v>
      </c>
      <c r="H183" s="31">
        <f t="shared" si="214"/>
        <v>1609.754292</v>
      </c>
      <c r="I183" s="31">
        <f t="shared" si="215"/>
        <v>997.5942093</v>
      </c>
      <c r="J183" s="31">
        <f t="shared" si="216"/>
        <v>90.69038266</v>
      </c>
      <c r="K183" s="31">
        <f t="shared" si="217"/>
        <v>121819.8565</v>
      </c>
      <c r="L183" s="31">
        <f t="shared" si="218"/>
        <v>5101.334025</v>
      </c>
      <c r="M183" s="31">
        <f t="shared" si="219"/>
        <v>13784.93816</v>
      </c>
      <c r="N183" s="31">
        <f t="shared" si="220"/>
        <v>1519.06391</v>
      </c>
      <c r="O183" s="31">
        <f t="shared" si="221"/>
        <v>5055.988833</v>
      </c>
      <c r="P183" s="31">
        <f t="shared" si="222"/>
        <v>2766.056671</v>
      </c>
      <c r="Q183" s="31">
        <f t="shared" si="223"/>
        <v>90.69038266</v>
      </c>
      <c r="R183" s="31" t="str">
        <f t="shared" si="224"/>
        <v/>
      </c>
      <c r="S183" s="31" t="str">
        <f t="shared" si="225"/>
        <v/>
      </c>
      <c r="T183" s="31" t="str">
        <f t="shared" si="226"/>
        <v/>
      </c>
      <c r="U183" s="31" t="str">
        <f t="shared" si="227"/>
        <v/>
      </c>
      <c r="V183" s="31" t="str">
        <f t="shared" si="228"/>
        <v/>
      </c>
      <c r="W183" s="47">
        <f t="shared" si="229"/>
        <v>226771.3018</v>
      </c>
    </row>
    <row r="184" ht="15.75" customHeight="1">
      <c r="A184" s="46">
        <f t="shared" si="207"/>
        <v>2040</v>
      </c>
      <c r="B184" s="47">
        <f t="shared" si="208"/>
        <v>233574.4409</v>
      </c>
      <c r="C184" s="31">
        <f t="shared" si="209"/>
        <v>39115.89567</v>
      </c>
      <c r="D184" s="31">
        <f t="shared" si="210"/>
        <v>6959.126514</v>
      </c>
      <c r="E184" s="31">
        <f t="shared" si="211"/>
        <v>2522.099542</v>
      </c>
      <c r="F184" s="31">
        <f t="shared" si="212"/>
        <v>22652.19033</v>
      </c>
      <c r="G184" s="31">
        <f t="shared" si="213"/>
        <v>4904.082442</v>
      </c>
      <c r="H184" s="31">
        <f t="shared" si="214"/>
        <v>1658.046921</v>
      </c>
      <c r="I184" s="31">
        <f t="shared" si="215"/>
        <v>1027.522036</v>
      </c>
      <c r="J184" s="31">
        <f t="shared" si="216"/>
        <v>93.41109414</v>
      </c>
      <c r="K184" s="31">
        <f t="shared" si="217"/>
        <v>125474.4522</v>
      </c>
      <c r="L184" s="31">
        <f t="shared" si="218"/>
        <v>5254.374046</v>
      </c>
      <c r="M184" s="31">
        <f t="shared" si="219"/>
        <v>14198.48631</v>
      </c>
      <c r="N184" s="31">
        <f t="shared" si="220"/>
        <v>1564.635827</v>
      </c>
      <c r="O184" s="31">
        <f t="shared" si="221"/>
        <v>5207.668498</v>
      </c>
      <c r="P184" s="31">
        <f t="shared" si="222"/>
        <v>2849.038371</v>
      </c>
      <c r="Q184" s="31">
        <f t="shared" si="223"/>
        <v>93.41109414</v>
      </c>
      <c r="R184" s="31" t="str">
        <f t="shared" si="224"/>
        <v/>
      </c>
      <c r="S184" s="31" t="str">
        <f t="shared" si="225"/>
        <v/>
      </c>
      <c r="T184" s="31" t="str">
        <f t="shared" si="226"/>
        <v/>
      </c>
      <c r="U184" s="31" t="str">
        <f t="shared" si="227"/>
        <v/>
      </c>
      <c r="V184" s="31" t="str">
        <f t="shared" si="228"/>
        <v/>
      </c>
      <c r="W184" s="47">
        <f t="shared" si="229"/>
        <v>233574.4409</v>
      </c>
    </row>
    <row r="185" ht="15.75" customHeight="1">
      <c r="A185" s="46">
        <f t="shared" si="207"/>
        <v>2041</v>
      </c>
      <c r="B185" s="47">
        <f t="shared" si="208"/>
        <v>240581.6741</v>
      </c>
      <c r="C185" s="31">
        <f t="shared" si="209"/>
        <v>40289.37254</v>
      </c>
      <c r="D185" s="31">
        <f t="shared" si="210"/>
        <v>7167.900309</v>
      </c>
      <c r="E185" s="31">
        <f t="shared" si="211"/>
        <v>2597.762528</v>
      </c>
      <c r="F185" s="31">
        <f t="shared" si="212"/>
        <v>23331.75604</v>
      </c>
      <c r="G185" s="31">
        <f t="shared" si="213"/>
        <v>5051.204916</v>
      </c>
      <c r="H185" s="31">
        <f t="shared" si="214"/>
        <v>1707.788329</v>
      </c>
      <c r="I185" s="31">
        <f t="shared" si="215"/>
        <v>1058.347697</v>
      </c>
      <c r="J185" s="31">
        <f t="shared" si="216"/>
        <v>96.21342697</v>
      </c>
      <c r="K185" s="31">
        <f t="shared" si="217"/>
        <v>129238.6858</v>
      </c>
      <c r="L185" s="31">
        <f t="shared" si="218"/>
        <v>5412.005267</v>
      </c>
      <c r="M185" s="31">
        <f t="shared" si="219"/>
        <v>14624.4409</v>
      </c>
      <c r="N185" s="31">
        <f t="shared" si="220"/>
        <v>1611.574902</v>
      </c>
      <c r="O185" s="31">
        <f t="shared" si="221"/>
        <v>5363.898553</v>
      </c>
      <c r="P185" s="31">
        <f t="shared" si="222"/>
        <v>2934.509522</v>
      </c>
      <c r="Q185" s="31">
        <f t="shared" si="223"/>
        <v>96.21342697</v>
      </c>
      <c r="R185" s="31" t="str">
        <f t="shared" si="224"/>
        <v/>
      </c>
      <c r="S185" s="31" t="str">
        <f t="shared" si="225"/>
        <v/>
      </c>
      <c r="T185" s="31" t="str">
        <f t="shared" si="226"/>
        <v/>
      </c>
      <c r="U185" s="31" t="str">
        <f t="shared" si="227"/>
        <v/>
      </c>
      <c r="V185" s="31" t="str">
        <f t="shared" si="228"/>
        <v/>
      </c>
      <c r="W185" s="47">
        <f t="shared" si="229"/>
        <v>240581.6741</v>
      </c>
    </row>
    <row r="186" ht="15.75" customHeight="1">
      <c r="A186" s="46">
        <f t="shared" si="207"/>
        <v>2042</v>
      </c>
      <c r="B186" s="47">
        <f t="shared" si="208"/>
        <v>247799.1244</v>
      </c>
      <c r="C186" s="31">
        <f t="shared" si="209"/>
        <v>41498.05372</v>
      </c>
      <c r="D186" s="31">
        <f t="shared" si="210"/>
        <v>7382.937318</v>
      </c>
      <c r="E186" s="31">
        <f t="shared" si="211"/>
        <v>2675.695404</v>
      </c>
      <c r="F186" s="31">
        <f t="shared" si="212"/>
        <v>24031.70872</v>
      </c>
      <c r="G186" s="31">
        <f t="shared" si="213"/>
        <v>5202.741063</v>
      </c>
      <c r="H186" s="31">
        <f t="shared" si="214"/>
        <v>1759.021979</v>
      </c>
      <c r="I186" s="31">
        <f t="shared" si="215"/>
        <v>1090.098128</v>
      </c>
      <c r="J186" s="31">
        <f t="shared" si="216"/>
        <v>99.09982978</v>
      </c>
      <c r="K186" s="31">
        <f t="shared" si="217"/>
        <v>133115.8463</v>
      </c>
      <c r="L186" s="31">
        <f t="shared" si="218"/>
        <v>5574.365425</v>
      </c>
      <c r="M186" s="31">
        <f t="shared" si="219"/>
        <v>15063.17413</v>
      </c>
      <c r="N186" s="31">
        <f t="shared" si="220"/>
        <v>1659.922149</v>
      </c>
      <c r="O186" s="31">
        <f t="shared" si="221"/>
        <v>5524.81551</v>
      </c>
      <c r="P186" s="31">
        <f t="shared" si="222"/>
        <v>3022.544808</v>
      </c>
      <c r="Q186" s="31">
        <f t="shared" si="223"/>
        <v>99.09982978</v>
      </c>
      <c r="R186" s="31" t="str">
        <f t="shared" si="224"/>
        <v/>
      </c>
      <c r="S186" s="31" t="str">
        <f t="shared" si="225"/>
        <v/>
      </c>
      <c r="T186" s="31" t="str">
        <f t="shared" si="226"/>
        <v/>
      </c>
      <c r="U186" s="31" t="str">
        <f t="shared" si="227"/>
        <v/>
      </c>
      <c r="V186" s="31" t="str">
        <f t="shared" si="228"/>
        <v/>
      </c>
      <c r="W186" s="47">
        <f t="shared" si="229"/>
        <v>247799.1244</v>
      </c>
    </row>
    <row r="187" ht="15.75" customHeight="1">
      <c r="A187" s="46">
        <f t="shared" si="207"/>
        <v>2043</v>
      </c>
      <c r="B187" s="47">
        <f t="shared" si="208"/>
        <v>255233.0981</v>
      </c>
      <c r="C187" s="31">
        <f t="shared" si="209"/>
        <v>42742.99533</v>
      </c>
      <c r="D187" s="31">
        <f t="shared" si="210"/>
        <v>7604.425438</v>
      </c>
      <c r="E187" s="31">
        <f t="shared" si="211"/>
        <v>2755.966266</v>
      </c>
      <c r="F187" s="31">
        <f t="shared" si="212"/>
        <v>24752.65998</v>
      </c>
      <c r="G187" s="31">
        <f t="shared" si="213"/>
        <v>5358.823295</v>
      </c>
      <c r="H187" s="31">
        <f t="shared" si="214"/>
        <v>1811.792638</v>
      </c>
      <c r="I187" s="31">
        <f t="shared" si="215"/>
        <v>1122.801071</v>
      </c>
      <c r="J187" s="31">
        <f t="shared" si="216"/>
        <v>102.0728247</v>
      </c>
      <c r="K187" s="31">
        <f t="shared" si="217"/>
        <v>137109.3217</v>
      </c>
      <c r="L187" s="31">
        <f t="shared" si="218"/>
        <v>5741.596388</v>
      </c>
      <c r="M187" s="31">
        <f t="shared" si="219"/>
        <v>15515.06935</v>
      </c>
      <c r="N187" s="31">
        <f t="shared" si="220"/>
        <v>1709.719813</v>
      </c>
      <c r="O187" s="31">
        <f t="shared" si="221"/>
        <v>5690.559975</v>
      </c>
      <c r="P187" s="31">
        <f t="shared" si="222"/>
        <v>3113.221152</v>
      </c>
      <c r="Q187" s="31">
        <f t="shared" si="223"/>
        <v>102.0728247</v>
      </c>
      <c r="R187" s="31" t="str">
        <f t="shared" si="224"/>
        <v/>
      </c>
      <c r="S187" s="31" t="str">
        <f t="shared" si="225"/>
        <v/>
      </c>
      <c r="T187" s="31" t="str">
        <f t="shared" si="226"/>
        <v/>
      </c>
      <c r="U187" s="31" t="str">
        <f t="shared" si="227"/>
        <v/>
      </c>
      <c r="V187" s="31" t="str">
        <f t="shared" si="228"/>
        <v/>
      </c>
      <c r="W187" s="47">
        <f t="shared" si="229"/>
        <v>255233.0981</v>
      </c>
    </row>
    <row r="188" ht="15.75" customHeight="1">
      <c r="A188" s="46">
        <f t="shared" si="207"/>
        <v>2044</v>
      </c>
      <c r="B188" s="47">
        <f t="shared" si="208"/>
        <v>262890.091</v>
      </c>
      <c r="C188" s="31">
        <f t="shared" si="209"/>
        <v>44025.28519</v>
      </c>
      <c r="D188" s="31">
        <f t="shared" si="210"/>
        <v>7832.558201</v>
      </c>
      <c r="E188" s="31">
        <f t="shared" si="211"/>
        <v>2838.645254</v>
      </c>
      <c r="F188" s="31">
        <f t="shared" si="212"/>
        <v>25495.23978</v>
      </c>
      <c r="G188" s="31">
        <f t="shared" si="213"/>
        <v>5519.587994</v>
      </c>
      <c r="H188" s="31">
        <f t="shared" si="214"/>
        <v>1866.146417</v>
      </c>
      <c r="I188" s="31">
        <f t="shared" si="215"/>
        <v>1156.485103</v>
      </c>
      <c r="J188" s="31">
        <f t="shared" si="216"/>
        <v>105.1350094</v>
      </c>
      <c r="K188" s="31">
        <f t="shared" si="217"/>
        <v>141222.6014</v>
      </c>
      <c r="L188" s="31">
        <f t="shared" si="218"/>
        <v>5913.844279</v>
      </c>
      <c r="M188" s="31">
        <f t="shared" si="219"/>
        <v>15980.52143</v>
      </c>
      <c r="N188" s="31">
        <f t="shared" si="220"/>
        <v>1761.011408</v>
      </c>
      <c r="O188" s="31">
        <f t="shared" si="221"/>
        <v>5861.276775</v>
      </c>
      <c r="P188" s="31">
        <f t="shared" si="222"/>
        <v>3206.617787</v>
      </c>
      <c r="Q188" s="31">
        <f t="shared" si="223"/>
        <v>105.1350094</v>
      </c>
      <c r="R188" s="31" t="str">
        <f t="shared" si="224"/>
        <v/>
      </c>
      <c r="S188" s="31" t="str">
        <f t="shared" si="225"/>
        <v/>
      </c>
      <c r="T188" s="31" t="str">
        <f t="shared" si="226"/>
        <v/>
      </c>
      <c r="U188" s="31" t="str">
        <f t="shared" si="227"/>
        <v/>
      </c>
      <c r="V188" s="31" t="str">
        <f t="shared" si="228"/>
        <v/>
      </c>
      <c r="W188" s="47">
        <f t="shared" si="229"/>
        <v>262890.091</v>
      </c>
    </row>
    <row r="189" ht="15.75" customHeight="1">
      <c r="A189" s="46">
        <f t="shared" si="207"/>
        <v>2045</v>
      </c>
      <c r="B189" s="47">
        <f t="shared" si="208"/>
        <v>270776.7938</v>
      </c>
      <c r="C189" s="31">
        <f t="shared" si="209"/>
        <v>45346.04375</v>
      </c>
      <c r="D189" s="31">
        <f t="shared" si="210"/>
        <v>8067.534947</v>
      </c>
      <c r="E189" s="31">
        <f t="shared" si="211"/>
        <v>2923.804612</v>
      </c>
      <c r="F189" s="31">
        <f t="shared" si="212"/>
        <v>26260.09698</v>
      </c>
      <c r="G189" s="31">
        <f t="shared" si="213"/>
        <v>5685.175634</v>
      </c>
      <c r="H189" s="31">
        <f t="shared" si="214"/>
        <v>1922.13081</v>
      </c>
      <c r="I189" s="31">
        <f t="shared" si="215"/>
        <v>1191.179657</v>
      </c>
      <c r="J189" s="31">
        <f t="shared" si="216"/>
        <v>108.2890597</v>
      </c>
      <c r="K189" s="31">
        <f t="shared" si="217"/>
        <v>145459.2794</v>
      </c>
      <c r="L189" s="31">
        <f t="shared" si="218"/>
        <v>6091.259608</v>
      </c>
      <c r="M189" s="31">
        <f t="shared" si="219"/>
        <v>16459.93707</v>
      </c>
      <c r="N189" s="31">
        <f t="shared" si="220"/>
        <v>1813.84175</v>
      </c>
      <c r="O189" s="31">
        <f t="shared" si="221"/>
        <v>6037.115078</v>
      </c>
      <c r="P189" s="31">
        <f t="shared" si="222"/>
        <v>3302.816321</v>
      </c>
      <c r="Q189" s="31">
        <f t="shared" si="223"/>
        <v>108.2890597</v>
      </c>
      <c r="R189" s="31" t="str">
        <f t="shared" si="224"/>
        <v/>
      </c>
      <c r="S189" s="31" t="str">
        <f t="shared" si="225"/>
        <v/>
      </c>
      <c r="T189" s="31" t="str">
        <f t="shared" si="226"/>
        <v/>
      </c>
      <c r="U189" s="31" t="str">
        <f t="shared" si="227"/>
        <v/>
      </c>
      <c r="V189" s="31" t="str">
        <f t="shared" si="228"/>
        <v/>
      </c>
      <c r="W189" s="47">
        <f t="shared" si="229"/>
        <v>270776.7938</v>
      </c>
    </row>
    <row r="190" ht="15.75" customHeight="1">
      <c r="A190" s="46">
        <f t="shared" si="207"/>
        <v>2046</v>
      </c>
      <c r="B190" s="47">
        <f t="shared" si="208"/>
        <v>278900.0976</v>
      </c>
      <c r="C190" s="31">
        <f t="shared" si="209"/>
        <v>46706.42506</v>
      </c>
      <c r="D190" s="31">
        <f t="shared" si="210"/>
        <v>8309.560995</v>
      </c>
      <c r="E190" s="31">
        <f t="shared" si="211"/>
        <v>3011.51875</v>
      </c>
      <c r="F190" s="31">
        <f t="shared" si="212"/>
        <v>27047.89988</v>
      </c>
      <c r="G190" s="31">
        <f t="shared" si="213"/>
        <v>5855.730903</v>
      </c>
      <c r="H190" s="31">
        <f t="shared" si="214"/>
        <v>1979.794734</v>
      </c>
      <c r="I190" s="31">
        <f t="shared" si="215"/>
        <v>1226.915046</v>
      </c>
      <c r="J190" s="31">
        <f t="shared" si="216"/>
        <v>111.5377315</v>
      </c>
      <c r="K190" s="31">
        <f t="shared" si="217"/>
        <v>149823.0578</v>
      </c>
      <c r="L190" s="31">
        <f t="shared" si="218"/>
        <v>6273.997396</v>
      </c>
      <c r="M190" s="31">
        <f t="shared" si="219"/>
        <v>16953.73519</v>
      </c>
      <c r="N190" s="31">
        <f t="shared" si="220"/>
        <v>1868.257002</v>
      </c>
      <c r="O190" s="31">
        <f t="shared" si="221"/>
        <v>6218.22853</v>
      </c>
      <c r="P190" s="31">
        <f t="shared" si="222"/>
        <v>3401.90081</v>
      </c>
      <c r="Q190" s="31">
        <f t="shared" si="223"/>
        <v>111.5377315</v>
      </c>
      <c r="R190" s="31" t="str">
        <f t="shared" si="224"/>
        <v/>
      </c>
      <c r="S190" s="31" t="str">
        <f t="shared" si="225"/>
        <v/>
      </c>
      <c r="T190" s="31" t="str">
        <f t="shared" si="226"/>
        <v/>
      </c>
      <c r="U190" s="31" t="str">
        <f t="shared" si="227"/>
        <v/>
      </c>
      <c r="V190" s="31" t="str">
        <f t="shared" si="228"/>
        <v/>
      </c>
      <c r="W190" s="47">
        <f t="shared" si="229"/>
        <v>278900.0976</v>
      </c>
    </row>
    <row r="191" ht="15.75" customHeight="1">
      <c r="A191" s="46">
        <f t="shared" si="207"/>
        <v>2047</v>
      </c>
      <c r="B191" s="47">
        <f t="shared" si="208"/>
        <v>287267.1005</v>
      </c>
      <c r="C191" s="31">
        <f t="shared" si="209"/>
        <v>48107.61781</v>
      </c>
      <c r="D191" s="31">
        <f t="shared" si="210"/>
        <v>8558.847825</v>
      </c>
      <c r="E191" s="31">
        <f t="shared" si="211"/>
        <v>3101.864313</v>
      </c>
      <c r="F191" s="31">
        <f t="shared" si="212"/>
        <v>27859.33688</v>
      </c>
      <c r="G191" s="31">
        <f t="shared" si="213"/>
        <v>6031.40283</v>
      </c>
      <c r="H191" s="31">
        <f t="shared" si="214"/>
        <v>2039.188576</v>
      </c>
      <c r="I191" s="31">
        <f t="shared" si="215"/>
        <v>1263.722498</v>
      </c>
      <c r="J191" s="31">
        <f t="shared" si="216"/>
        <v>114.8838634</v>
      </c>
      <c r="K191" s="31">
        <f t="shared" si="217"/>
        <v>154317.7495</v>
      </c>
      <c r="L191" s="31">
        <f t="shared" si="218"/>
        <v>6462.217318</v>
      </c>
      <c r="M191" s="31">
        <f t="shared" si="219"/>
        <v>17462.34724</v>
      </c>
      <c r="N191" s="31">
        <f t="shared" si="220"/>
        <v>1924.304712</v>
      </c>
      <c r="O191" s="31">
        <f t="shared" si="221"/>
        <v>6404.775386</v>
      </c>
      <c r="P191" s="31">
        <f t="shared" si="222"/>
        <v>3503.957835</v>
      </c>
      <c r="Q191" s="31">
        <f t="shared" si="223"/>
        <v>114.8838634</v>
      </c>
      <c r="R191" s="31" t="str">
        <f t="shared" si="224"/>
        <v/>
      </c>
      <c r="S191" s="31" t="str">
        <f t="shared" si="225"/>
        <v/>
      </c>
      <c r="T191" s="31" t="str">
        <f t="shared" si="226"/>
        <v/>
      </c>
      <c r="U191" s="31" t="str">
        <f t="shared" si="227"/>
        <v/>
      </c>
      <c r="V191" s="31" t="str">
        <f t="shared" si="228"/>
        <v/>
      </c>
      <c r="W191" s="47">
        <f t="shared" si="229"/>
        <v>287267.1005</v>
      </c>
    </row>
    <row r="192" ht="15.75" customHeight="1">
      <c r="A192" s="46">
        <f t="shared" si="207"/>
        <v>2048</v>
      </c>
      <c r="B192" s="47">
        <f t="shared" si="208"/>
        <v>295885.1135</v>
      </c>
      <c r="C192" s="31">
        <f t="shared" si="209"/>
        <v>49550.84634</v>
      </c>
      <c r="D192" s="31">
        <f t="shared" si="210"/>
        <v>8815.61326</v>
      </c>
      <c r="E192" s="31">
        <f t="shared" si="211"/>
        <v>3194.920242</v>
      </c>
      <c r="F192" s="31">
        <f t="shared" si="212"/>
        <v>28695.11699</v>
      </c>
      <c r="G192" s="31">
        <f t="shared" si="213"/>
        <v>6212.344915</v>
      </c>
      <c r="H192" s="31">
        <f t="shared" si="214"/>
        <v>2100.364233</v>
      </c>
      <c r="I192" s="31">
        <f t="shared" si="215"/>
        <v>1301.634173</v>
      </c>
      <c r="J192" s="31">
        <f t="shared" si="216"/>
        <v>118.3303793</v>
      </c>
      <c r="K192" s="31">
        <f t="shared" si="217"/>
        <v>158947.282</v>
      </c>
      <c r="L192" s="31">
        <f t="shared" si="218"/>
        <v>6656.083837</v>
      </c>
      <c r="M192" s="31">
        <f t="shared" si="219"/>
        <v>17986.21766</v>
      </c>
      <c r="N192" s="31">
        <f t="shared" si="220"/>
        <v>1982.033854</v>
      </c>
      <c r="O192" s="31">
        <f t="shared" si="221"/>
        <v>6596.918648</v>
      </c>
      <c r="P192" s="31">
        <f t="shared" si="222"/>
        <v>3609.07657</v>
      </c>
      <c r="Q192" s="31">
        <f t="shared" si="223"/>
        <v>118.3303793</v>
      </c>
      <c r="R192" s="31" t="str">
        <f t="shared" si="224"/>
        <v/>
      </c>
      <c r="S192" s="31" t="str">
        <f t="shared" si="225"/>
        <v/>
      </c>
      <c r="T192" s="31" t="str">
        <f t="shared" si="226"/>
        <v/>
      </c>
      <c r="U192" s="31" t="str">
        <f t="shared" si="227"/>
        <v/>
      </c>
      <c r="V192" s="31" t="str">
        <f t="shared" si="228"/>
        <v/>
      </c>
      <c r="W192" s="47">
        <f t="shared" si="229"/>
        <v>295885.1135</v>
      </c>
    </row>
    <row r="193" ht="15.75" customHeight="1">
      <c r="A193" s="46">
        <f t="shared" si="207"/>
        <v>2049</v>
      </c>
      <c r="B193" s="47">
        <f t="shared" si="208"/>
        <v>304761.6669</v>
      </c>
      <c r="C193" s="31">
        <f t="shared" si="209"/>
        <v>51037.37173</v>
      </c>
      <c r="D193" s="31">
        <f t="shared" si="210"/>
        <v>9080.081658</v>
      </c>
      <c r="E193" s="31">
        <f t="shared" si="211"/>
        <v>3290.767849</v>
      </c>
      <c r="F193" s="31">
        <f t="shared" si="212"/>
        <v>29555.9705</v>
      </c>
      <c r="G193" s="31">
        <f t="shared" si="213"/>
        <v>6398.715262</v>
      </c>
      <c r="H193" s="31">
        <f t="shared" si="214"/>
        <v>2163.37516</v>
      </c>
      <c r="I193" s="31">
        <f t="shared" si="215"/>
        <v>1340.683198</v>
      </c>
      <c r="J193" s="31">
        <f t="shared" si="216"/>
        <v>121.8802907</v>
      </c>
      <c r="K193" s="31">
        <f t="shared" si="217"/>
        <v>163715.7005</v>
      </c>
      <c r="L193" s="31">
        <f t="shared" si="218"/>
        <v>6855.766352</v>
      </c>
      <c r="M193" s="31">
        <f t="shared" si="219"/>
        <v>18525.80419</v>
      </c>
      <c r="N193" s="31">
        <f t="shared" si="220"/>
        <v>2041.494869</v>
      </c>
      <c r="O193" s="31">
        <f t="shared" si="221"/>
        <v>6794.826207</v>
      </c>
      <c r="P193" s="31">
        <f t="shared" si="222"/>
        <v>3717.348867</v>
      </c>
      <c r="Q193" s="31">
        <f t="shared" si="223"/>
        <v>121.8802907</v>
      </c>
      <c r="R193" s="31" t="str">
        <f t="shared" si="224"/>
        <v/>
      </c>
      <c r="S193" s="31" t="str">
        <f t="shared" si="225"/>
        <v/>
      </c>
      <c r="T193" s="31" t="str">
        <f t="shared" si="226"/>
        <v/>
      </c>
      <c r="U193" s="31" t="str">
        <f t="shared" si="227"/>
        <v/>
      </c>
      <c r="V193" s="31" t="str">
        <f t="shared" si="228"/>
        <v/>
      </c>
      <c r="W193" s="47">
        <f t="shared" si="229"/>
        <v>304761.6669</v>
      </c>
    </row>
    <row r="194" ht="15.75" customHeight="1">
      <c r="A194" s="46">
        <f t="shared" si="207"/>
        <v>2050</v>
      </c>
      <c r="B194" s="47">
        <f t="shared" si="208"/>
        <v>313904.5169</v>
      </c>
      <c r="C194" s="31">
        <f t="shared" si="209"/>
        <v>52568.49289</v>
      </c>
      <c r="D194" s="31">
        <f t="shared" si="210"/>
        <v>9352.484108</v>
      </c>
      <c r="E194" s="31">
        <f t="shared" si="211"/>
        <v>3389.490885</v>
      </c>
      <c r="F194" s="31">
        <f t="shared" si="212"/>
        <v>30442.64961</v>
      </c>
      <c r="G194" s="31">
        <f t="shared" si="213"/>
        <v>6590.67672</v>
      </c>
      <c r="H194" s="31">
        <f t="shared" si="214"/>
        <v>2228.276415</v>
      </c>
      <c r="I194" s="31">
        <f t="shared" si="215"/>
        <v>1380.903694</v>
      </c>
      <c r="J194" s="31">
        <f t="shared" si="216"/>
        <v>125.5366994</v>
      </c>
      <c r="K194" s="31">
        <f t="shared" si="217"/>
        <v>168627.1715</v>
      </c>
      <c r="L194" s="31">
        <f t="shared" si="218"/>
        <v>7061.439343</v>
      </c>
      <c r="M194" s="31">
        <f t="shared" si="219"/>
        <v>19081.57831</v>
      </c>
      <c r="N194" s="31">
        <f t="shared" si="220"/>
        <v>2102.739715</v>
      </c>
      <c r="O194" s="31">
        <f t="shared" si="221"/>
        <v>6998.670993</v>
      </c>
      <c r="P194" s="31">
        <f t="shared" si="222"/>
        <v>3828.869333</v>
      </c>
      <c r="Q194" s="31">
        <f t="shared" si="223"/>
        <v>125.5366994</v>
      </c>
      <c r="R194" s="31" t="str">
        <f t="shared" si="224"/>
        <v/>
      </c>
      <c r="S194" s="31" t="str">
        <f t="shared" si="225"/>
        <v/>
      </c>
      <c r="T194" s="31" t="str">
        <f t="shared" si="226"/>
        <v/>
      </c>
      <c r="U194" s="31" t="str">
        <f t="shared" si="227"/>
        <v/>
      </c>
      <c r="V194" s="31" t="str">
        <f t="shared" si="228"/>
        <v/>
      </c>
      <c r="W194" s="47">
        <f t="shared" si="229"/>
        <v>313904.5169</v>
      </c>
    </row>
    <row r="195" ht="15.75" customHeight="1">
      <c r="A195" s="46">
        <f t="shared" si="207"/>
        <v>2051</v>
      </c>
      <c r="B195" s="47">
        <f t="shared" si="208"/>
        <v>323321.6524</v>
      </c>
      <c r="C195" s="31">
        <f t="shared" si="209"/>
        <v>54145.54767</v>
      </c>
      <c r="D195" s="31">
        <f t="shared" si="210"/>
        <v>9633.058631</v>
      </c>
      <c r="E195" s="31">
        <f t="shared" si="211"/>
        <v>3491.175611</v>
      </c>
      <c r="F195" s="31">
        <f t="shared" si="212"/>
        <v>31355.9291</v>
      </c>
      <c r="G195" s="31">
        <f t="shared" si="213"/>
        <v>6788.397022</v>
      </c>
      <c r="H195" s="31">
        <f t="shared" si="214"/>
        <v>2295.124707</v>
      </c>
      <c r="I195" s="31">
        <f t="shared" si="215"/>
        <v>1422.330805</v>
      </c>
      <c r="J195" s="31">
        <f t="shared" si="216"/>
        <v>129.3028004</v>
      </c>
      <c r="K195" s="31">
        <f t="shared" si="217"/>
        <v>173685.9867</v>
      </c>
      <c r="L195" s="31">
        <f t="shared" si="218"/>
        <v>7273.282523</v>
      </c>
      <c r="M195" s="31">
        <f t="shared" si="219"/>
        <v>19654.02566</v>
      </c>
      <c r="N195" s="31">
        <f t="shared" si="220"/>
        <v>2165.821907</v>
      </c>
      <c r="O195" s="31">
        <f t="shared" si="221"/>
        <v>7208.631123</v>
      </c>
      <c r="P195" s="31">
        <f t="shared" si="222"/>
        <v>3943.735413</v>
      </c>
      <c r="Q195" s="31">
        <f t="shared" si="223"/>
        <v>129.3028004</v>
      </c>
      <c r="R195" s="31" t="str">
        <f t="shared" si="224"/>
        <v/>
      </c>
      <c r="S195" s="31" t="str">
        <f t="shared" si="225"/>
        <v/>
      </c>
      <c r="T195" s="31" t="str">
        <f t="shared" si="226"/>
        <v/>
      </c>
      <c r="U195" s="31" t="str">
        <f t="shared" si="227"/>
        <v/>
      </c>
      <c r="V195" s="31" t="str">
        <f t="shared" si="228"/>
        <v/>
      </c>
      <c r="W195" s="47">
        <f t="shared" si="229"/>
        <v>323321.6524</v>
      </c>
    </row>
    <row r="196" ht="15.75" customHeight="1">
      <c r="A196" s="46">
        <f t="shared" si="207"/>
        <v>2052</v>
      </c>
      <c r="B196" s="47">
        <f t="shared" si="208"/>
        <v>333021.302</v>
      </c>
      <c r="C196" s="31">
        <f t="shared" si="209"/>
        <v>55769.9141</v>
      </c>
      <c r="D196" s="31">
        <f t="shared" si="210"/>
        <v>9922.05039</v>
      </c>
      <c r="E196" s="31">
        <f t="shared" si="211"/>
        <v>3595.910879</v>
      </c>
      <c r="F196" s="31">
        <f t="shared" si="212"/>
        <v>32296.60697</v>
      </c>
      <c r="G196" s="31">
        <f t="shared" si="213"/>
        <v>6992.048932</v>
      </c>
      <c r="H196" s="31">
        <f t="shared" si="214"/>
        <v>2363.978449</v>
      </c>
      <c r="I196" s="31">
        <f t="shared" si="215"/>
        <v>1465.000729</v>
      </c>
      <c r="J196" s="31">
        <f t="shared" si="216"/>
        <v>133.1818844</v>
      </c>
      <c r="K196" s="31">
        <f t="shared" si="217"/>
        <v>178896.5663</v>
      </c>
      <c r="L196" s="31">
        <f t="shared" si="218"/>
        <v>7491.480999</v>
      </c>
      <c r="M196" s="31">
        <f t="shared" si="219"/>
        <v>20243.64643</v>
      </c>
      <c r="N196" s="31">
        <f t="shared" si="220"/>
        <v>2230.796564</v>
      </c>
      <c r="O196" s="31">
        <f t="shared" si="221"/>
        <v>7424.890057</v>
      </c>
      <c r="P196" s="31">
        <f t="shared" si="222"/>
        <v>4062.047475</v>
      </c>
      <c r="Q196" s="31">
        <f t="shared" si="223"/>
        <v>133.1818844</v>
      </c>
      <c r="R196" s="31" t="str">
        <f t="shared" si="224"/>
        <v/>
      </c>
      <c r="S196" s="31" t="str">
        <f t="shared" si="225"/>
        <v/>
      </c>
      <c r="T196" s="31" t="str">
        <f t="shared" si="226"/>
        <v/>
      </c>
      <c r="U196" s="31" t="str">
        <f t="shared" si="227"/>
        <v/>
      </c>
      <c r="V196" s="31" t="str">
        <f t="shared" si="228"/>
        <v/>
      </c>
      <c r="W196" s="47">
        <f t="shared" si="229"/>
        <v>333021.302</v>
      </c>
    </row>
    <row r="197" ht="15.75" customHeight="1">
      <c r="A197" s="46">
        <f t="shared" si="207"/>
        <v>2053</v>
      </c>
      <c r="B197" s="47">
        <f t="shared" si="208"/>
        <v>343011.9411</v>
      </c>
      <c r="C197" s="31">
        <f t="shared" si="209"/>
        <v>57443.01153</v>
      </c>
      <c r="D197" s="31">
        <f t="shared" si="210"/>
        <v>10219.7119</v>
      </c>
      <c r="E197" s="31">
        <f t="shared" si="211"/>
        <v>3703.788206</v>
      </c>
      <c r="F197" s="31">
        <f t="shared" si="212"/>
        <v>33265.50518</v>
      </c>
      <c r="G197" s="31">
        <f t="shared" si="213"/>
        <v>7201.8104</v>
      </c>
      <c r="H197" s="31">
        <f t="shared" si="214"/>
        <v>2434.897802</v>
      </c>
      <c r="I197" s="31">
        <f t="shared" si="215"/>
        <v>1508.950751</v>
      </c>
      <c r="J197" s="31">
        <f t="shared" si="216"/>
        <v>137.177341</v>
      </c>
      <c r="K197" s="31">
        <f t="shared" si="217"/>
        <v>184263.4632</v>
      </c>
      <c r="L197" s="31">
        <f t="shared" si="218"/>
        <v>7716.225429</v>
      </c>
      <c r="M197" s="31">
        <f t="shared" si="219"/>
        <v>20850.95583</v>
      </c>
      <c r="N197" s="31">
        <f t="shared" si="220"/>
        <v>2297.720461</v>
      </c>
      <c r="O197" s="31">
        <f t="shared" si="221"/>
        <v>7647.636758</v>
      </c>
      <c r="P197" s="31">
        <f t="shared" si="222"/>
        <v>4183.908899</v>
      </c>
      <c r="Q197" s="31">
        <f t="shared" si="223"/>
        <v>137.177341</v>
      </c>
      <c r="R197" s="31" t="str">
        <f t="shared" si="224"/>
        <v/>
      </c>
      <c r="S197" s="31" t="str">
        <f t="shared" si="225"/>
        <v/>
      </c>
      <c r="T197" s="31" t="str">
        <f t="shared" si="226"/>
        <v/>
      </c>
      <c r="U197" s="31" t="str">
        <f t="shared" si="227"/>
        <v/>
      </c>
      <c r="V197" s="31" t="str">
        <f t="shared" si="228"/>
        <v/>
      </c>
      <c r="W197" s="47">
        <f t="shared" si="229"/>
        <v>343011.9411</v>
      </c>
    </row>
    <row r="198" ht="15.75" customHeight="1">
      <c r="A198" s="46">
        <f t="shared" si="207"/>
        <v>2054</v>
      </c>
      <c r="B198" s="47">
        <f t="shared" si="208"/>
        <v>353302.2993</v>
      </c>
      <c r="C198" s="31">
        <f t="shared" si="209"/>
        <v>59166.30187</v>
      </c>
      <c r="D198" s="31">
        <f t="shared" si="210"/>
        <v>10526.30326</v>
      </c>
      <c r="E198" s="31">
        <f t="shared" si="211"/>
        <v>3814.901852</v>
      </c>
      <c r="F198" s="31">
        <f t="shared" si="212"/>
        <v>34263.47034</v>
      </c>
      <c r="G198" s="31">
        <f t="shared" si="213"/>
        <v>7417.864712</v>
      </c>
      <c r="H198" s="31">
        <f t="shared" si="214"/>
        <v>2507.944736</v>
      </c>
      <c r="I198" s="31">
        <f t="shared" si="215"/>
        <v>1554.219273</v>
      </c>
      <c r="J198" s="31">
        <f t="shared" si="216"/>
        <v>141.2926612</v>
      </c>
      <c r="K198" s="31">
        <f t="shared" si="217"/>
        <v>189791.3671</v>
      </c>
      <c r="L198" s="31">
        <f t="shared" si="218"/>
        <v>7947.712192</v>
      </c>
      <c r="M198" s="31">
        <f t="shared" si="219"/>
        <v>21476.4845</v>
      </c>
      <c r="N198" s="31">
        <f t="shared" si="220"/>
        <v>2366.652075</v>
      </c>
      <c r="O198" s="31">
        <f t="shared" si="221"/>
        <v>7877.065861</v>
      </c>
      <c r="P198" s="31">
        <f t="shared" si="222"/>
        <v>4309.426166</v>
      </c>
      <c r="Q198" s="31">
        <f t="shared" si="223"/>
        <v>141.2926612</v>
      </c>
      <c r="R198" s="31" t="str">
        <f t="shared" si="224"/>
        <v/>
      </c>
      <c r="S198" s="31" t="str">
        <f t="shared" si="225"/>
        <v/>
      </c>
      <c r="T198" s="31" t="str">
        <f t="shared" si="226"/>
        <v/>
      </c>
      <c r="U198" s="31" t="str">
        <f t="shared" si="227"/>
        <v/>
      </c>
      <c r="V198" s="31" t="str">
        <f t="shared" si="228"/>
        <v/>
      </c>
      <c r="W198" s="47">
        <f t="shared" si="229"/>
        <v>353302.2993</v>
      </c>
    </row>
    <row r="199" ht="15.75" customHeight="1">
      <c r="A199" s="50" t="str">
        <f>"Total "&amp;$A$56&amp;"–"&amp;$A$80&amp;" (t)"</f>
        <v>Total 2030–2054 (t)</v>
      </c>
      <c r="B199" s="52">
        <f>SUM(B174:B198)</f>
        <v>6336668.271</v>
      </c>
      <c r="C199" s="52">
        <f t="shared" ref="C199:V199" si="230">IF(C$173="","",SUM(C174:C198))</f>
        <v>1061179.699</v>
      </c>
      <c r="D199" s="52">
        <f t="shared" si="230"/>
        <v>188794.9555</v>
      </c>
      <c r="E199" s="52">
        <f t="shared" si="230"/>
        <v>68422.33286</v>
      </c>
      <c r="F199" s="52">
        <f t="shared" si="230"/>
        <v>614533.9155</v>
      </c>
      <c r="G199" s="52">
        <f t="shared" si="230"/>
        <v>133043.425</v>
      </c>
      <c r="H199" s="52">
        <f t="shared" si="230"/>
        <v>44981.34845</v>
      </c>
      <c r="I199" s="52">
        <f t="shared" si="230"/>
        <v>27875.76524</v>
      </c>
      <c r="J199" s="52">
        <f t="shared" si="230"/>
        <v>2534.160476</v>
      </c>
      <c r="K199" s="52">
        <f t="shared" si="230"/>
        <v>3404011.06</v>
      </c>
      <c r="L199" s="52">
        <f t="shared" si="230"/>
        <v>142546.5268</v>
      </c>
      <c r="M199" s="52">
        <f t="shared" si="230"/>
        <v>385192.3924</v>
      </c>
      <c r="N199" s="52">
        <f t="shared" si="230"/>
        <v>42447.18798</v>
      </c>
      <c r="O199" s="52">
        <f t="shared" si="230"/>
        <v>141279.4466</v>
      </c>
      <c r="P199" s="52">
        <f t="shared" si="230"/>
        <v>77291.89453</v>
      </c>
      <c r="Q199" s="52">
        <f t="shared" si="230"/>
        <v>2534.160476</v>
      </c>
      <c r="R199" s="52" t="str">
        <f t="shared" si="230"/>
        <v/>
      </c>
      <c r="S199" s="52" t="str">
        <f t="shared" si="230"/>
        <v/>
      </c>
      <c r="T199" s="52" t="str">
        <f t="shared" si="230"/>
        <v/>
      </c>
      <c r="U199" s="52" t="str">
        <f t="shared" si="230"/>
        <v/>
      </c>
      <c r="V199" s="52" t="str">
        <f t="shared" si="230"/>
        <v/>
      </c>
      <c r="W199" s="52">
        <f>SUM(W174:W198)</f>
        <v>6336668.271</v>
      </c>
    </row>
    <row r="200" ht="15.75" customHeight="1"/>
    <row r="201" ht="15.75" customHeight="1">
      <c r="A201" s="65" t="str">
        <f>D$25</f>
        <v>Sancaktepe</v>
      </c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3"/>
      <c r="X201" s="45"/>
      <c r="Y201" s="45"/>
      <c r="Z201" s="45"/>
    </row>
    <row r="202" ht="43.5" customHeight="1">
      <c r="A202" s="44" t="s">
        <v>31</v>
      </c>
      <c r="B202" s="44" t="s">
        <v>89</v>
      </c>
      <c r="C202" s="44" t="str">
        <f>IF($A$87="","",$A$87)</f>
        <v>Paper &amp; cardboard</v>
      </c>
      <c r="D202" s="44" t="str">
        <f>IF($A$88="","",$A$88)</f>
        <v>Glass</v>
      </c>
      <c r="E202" s="44" t="str">
        <f>IF($A$89="","",$A$89)</f>
        <v>PET</v>
      </c>
      <c r="F202" s="44" t="str">
        <f>IF($A$90="","",$A$90)</f>
        <v>Plastic bags</v>
      </c>
      <c r="G202" s="44" t="str">
        <f>IF($A$91="","",$A$91)</f>
        <v>Plastic</v>
      </c>
      <c r="H202" s="44" t="str">
        <f>IF($A$92="","",$A$92)</f>
        <v>Ferrous metal</v>
      </c>
      <c r="I202" s="44" t="str">
        <f>IF($A$93="","",$A$93)</f>
        <v>Aluminum</v>
      </c>
      <c r="J202" s="44" t="str">
        <f>IF($A$94="","",$A$94)</f>
        <v>Other metals</v>
      </c>
      <c r="K202" s="44" t="str">
        <f>IF($A$95="","",$A$95)</f>
        <v>Organic matter</v>
      </c>
      <c r="L202" s="44" t="str">
        <f>IF($A$96="","",$A$96)</f>
        <v>Textile</v>
      </c>
      <c r="M202" s="44" t="str">
        <f>IF($A$97="","",$A$97)</f>
        <v>Diapers</v>
      </c>
      <c r="N202" s="44" t="str">
        <f>IF($A$98="","",$A$98)</f>
        <v>Tetra Pak</v>
      </c>
      <c r="O202" s="44" t="str">
        <f>IF($A$99="","",$A$99)</f>
        <v>Other combustible</v>
      </c>
      <c r="P202" s="44" t="str">
        <f>IF($A$100="","",$A$100)</f>
        <v>Other non-combustible</v>
      </c>
      <c r="Q202" s="44" t="str">
        <f>IF($A$101="","",$A$101)</f>
        <v>Electrical/electronic waste</v>
      </c>
      <c r="R202" s="44" t="str">
        <f>IF($A$102="","",$A$102)</f>
        <v/>
      </c>
      <c r="S202" s="44" t="str">
        <f>IF($A$103="","",$A$103)</f>
        <v/>
      </c>
      <c r="T202" s="44" t="str">
        <f>IF($A$104="","",$A$104)</f>
        <v/>
      </c>
      <c r="U202" s="44" t="str">
        <f>IF($A$105="","",$A$105)</f>
        <v/>
      </c>
      <c r="V202" s="44" t="str">
        <f>IF($A$106="","",$A$106)</f>
        <v/>
      </c>
      <c r="W202" s="44" t="s">
        <v>90</v>
      </c>
      <c r="X202" s="45"/>
      <c r="Y202" s="45"/>
      <c r="Z202" s="45"/>
    </row>
    <row r="203" ht="15.75" customHeight="1">
      <c r="A203" s="46">
        <f t="shared" ref="A203:A227" si="231">A56</f>
        <v>2030</v>
      </c>
      <c r="B203" s="47">
        <f t="shared" ref="B203:B227" si="232">P56</f>
        <v>275197.6103</v>
      </c>
      <c r="C203" s="31">
        <f t="shared" ref="C203:C227" si="233">IF(C$202="","",$B203*$D$87/100)</f>
        <v>46086.38245</v>
      </c>
      <c r="D203" s="31">
        <f t="shared" ref="D203:D227" si="234">IF(D$202="","",$B203*$D$88/100)</f>
        <v>8199.248936</v>
      </c>
      <c r="E203" s="31">
        <f t="shared" ref="E203:E227" si="235">IF(E$202="","",$B203*$D$89/100)</f>
        <v>2971.539883</v>
      </c>
      <c r="F203" s="31">
        <f t="shared" ref="F203:F227" si="236">IF(F$202="","",$B203*$D$90/100)</f>
        <v>26688.83043</v>
      </c>
      <c r="G203" s="31">
        <f t="shared" ref="G203:G227" si="237">IF(G$202="","",$B203*$D$91/100)</f>
        <v>5777.994217</v>
      </c>
      <c r="H203" s="31">
        <f t="shared" ref="H203:H227" si="238">IF(H$202="","",$B203*$D$92/100)</f>
        <v>1953.512331</v>
      </c>
      <c r="I203" s="31">
        <f t="shared" ref="I203:I227" si="239">IF(I$202="","",$B203*$D$93/100)</f>
        <v>1210.62736</v>
      </c>
      <c r="J203" s="31">
        <f t="shared" ref="J203:J227" si="240">IF(J$202="","",$B203*$D$94/100)</f>
        <v>110.0570327</v>
      </c>
      <c r="K203" s="31">
        <f t="shared" ref="K203:K227" si="241">IF(K$202="","",$B203*$D$95/100)</f>
        <v>147834.1092</v>
      </c>
      <c r="L203" s="31">
        <f t="shared" ref="L203:L227" si="242">IF(L$202="","",$B203*$D$96/100)</f>
        <v>6190.70809</v>
      </c>
      <c r="M203" s="31">
        <f t="shared" ref="M203:M227" si="243">IF(M$202="","",$B203*$D$97/100)</f>
        <v>16728.66897</v>
      </c>
      <c r="N203" s="31">
        <f t="shared" ref="N203:N227" si="244">IF(N$202="","",$B203*$D$98/100)</f>
        <v>1843.455298</v>
      </c>
      <c r="O203" s="31">
        <f t="shared" ref="O203:O227" si="245">IF(O$202="","",$B203*$D$99/100)</f>
        <v>6135.679573</v>
      </c>
      <c r="P203" s="31">
        <f t="shared" ref="P203:P227" si="246">IF(P$202="","",$B203*$D$100/100)</f>
        <v>3356.739497</v>
      </c>
      <c r="Q203" s="31">
        <f t="shared" ref="Q203:Q227" si="247">IF(Q$202="","",$B203*$D$101/100)</f>
        <v>110.0570327</v>
      </c>
      <c r="R203" s="31" t="str">
        <f t="shared" ref="R203:R227" si="248">IF(R$202="","",$B203*$D$102/100)</f>
        <v/>
      </c>
      <c r="S203" s="31" t="str">
        <f t="shared" ref="S203:S227" si="249">IF(S$202="","",$B203*$D$103/100)</f>
        <v/>
      </c>
      <c r="T203" s="31" t="str">
        <f t="shared" ref="T203:T227" si="250">IF(T$202="","",$B203*$D$104/100)</f>
        <v/>
      </c>
      <c r="U203" s="31" t="str">
        <f t="shared" ref="U203:U227" si="251">IF(U$202="","",$B203*$D$105/100)</f>
        <v/>
      </c>
      <c r="V203" s="31" t="str">
        <f t="shared" ref="V203:V227" si="252">IF(V$202="","",$B203*$D$106/100)</f>
        <v/>
      </c>
      <c r="W203" s="47">
        <f t="shared" ref="W203:W227" si="253">SUM(C203:V203)</f>
        <v>275197.6103</v>
      </c>
    </row>
    <row r="204" ht="15.75" customHeight="1">
      <c r="A204" s="46">
        <f t="shared" si="231"/>
        <v>2031</v>
      </c>
      <c r="B204" s="47">
        <f t="shared" si="232"/>
        <v>282075.3823</v>
      </c>
      <c r="C204" s="31">
        <f t="shared" si="233"/>
        <v>47238.17891</v>
      </c>
      <c r="D204" s="31">
        <f t="shared" si="234"/>
        <v>8404.16556</v>
      </c>
      <c r="E204" s="31">
        <f t="shared" si="235"/>
        <v>3045.804968</v>
      </c>
      <c r="F204" s="31">
        <f t="shared" si="236"/>
        <v>27355.84092</v>
      </c>
      <c r="G204" s="31">
        <f t="shared" si="237"/>
        <v>5922.398549</v>
      </c>
      <c r="H204" s="31">
        <f t="shared" si="238"/>
        <v>2002.334748</v>
      </c>
      <c r="I204" s="31">
        <f t="shared" si="239"/>
        <v>1240.883506</v>
      </c>
      <c r="J204" s="31">
        <f t="shared" si="240"/>
        <v>112.8075914</v>
      </c>
      <c r="K204" s="31">
        <f t="shared" si="241"/>
        <v>151528.7972</v>
      </c>
      <c r="L204" s="31">
        <f t="shared" si="242"/>
        <v>6345.427017</v>
      </c>
      <c r="M204" s="31">
        <f t="shared" si="243"/>
        <v>17146.7539</v>
      </c>
      <c r="N204" s="31">
        <f t="shared" si="244"/>
        <v>1889.527156</v>
      </c>
      <c r="O204" s="31">
        <f t="shared" si="245"/>
        <v>6289.023221</v>
      </c>
      <c r="P204" s="31">
        <f t="shared" si="246"/>
        <v>3440.631538</v>
      </c>
      <c r="Q204" s="31">
        <f t="shared" si="247"/>
        <v>112.8075914</v>
      </c>
      <c r="R204" s="31" t="str">
        <f t="shared" si="248"/>
        <v/>
      </c>
      <c r="S204" s="31" t="str">
        <f t="shared" si="249"/>
        <v/>
      </c>
      <c r="T204" s="31" t="str">
        <f t="shared" si="250"/>
        <v/>
      </c>
      <c r="U204" s="31" t="str">
        <f t="shared" si="251"/>
        <v/>
      </c>
      <c r="V204" s="31" t="str">
        <f t="shared" si="252"/>
        <v/>
      </c>
      <c r="W204" s="47">
        <f t="shared" si="253"/>
        <v>282075.3823</v>
      </c>
    </row>
    <row r="205" ht="15.75" customHeight="1">
      <c r="A205" s="46">
        <f t="shared" si="231"/>
        <v>2032</v>
      </c>
      <c r="B205" s="47">
        <f t="shared" si="232"/>
        <v>288953.1544</v>
      </c>
      <c r="C205" s="31">
        <f t="shared" si="233"/>
        <v>48389.97537</v>
      </c>
      <c r="D205" s="31">
        <f t="shared" si="234"/>
        <v>8609.082184</v>
      </c>
      <c r="E205" s="31">
        <f t="shared" si="235"/>
        <v>3120.070053</v>
      </c>
      <c r="F205" s="31">
        <f t="shared" si="236"/>
        <v>28022.85141</v>
      </c>
      <c r="G205" s="31">
        <f t="shared" si="237"/>
        <v>6066.802882</v>
      </c>
      <c r="H205" s="31">
        <f t="shared" si="238"/>
        <v>2051.157165</v>
      </c>
      <c r="I205" s="31">
        <f t="shared" si="239"/>
        <v>1271.139651</v>
      </c>
      <c r="J205" s="31">
        <f t="shared" si="240"/>
        <v>115.5581501</v>
      </c>
      <c r="K205" s="31">
        <f t="shared" si="241"/>
        <v>155223.4852</v>
      </c>
      <c r="L205" s="31">
        <f t="shared" si="242"/>
        <v>6500.145945</v>
      </c>
      <c r="M205" s="31">
        <f t="shared" si="243"/>
        <v>17564.83882</v>
      </c>
      <c r="N205" s="31">
        <f t="shared" si="244"/>
        <v>1935.599015</v>
      </c>
      <c r="O205" s="31">
        <f t="shared" si="245"/>
        <v>6442.366869</v>
      </c>
      <c r="P205" s="31">
        <f t="shared" si="246"/>
        <v>3524.523579</v>
      </c>
      <c r="Q205" s="31">
        <f t="shared" si="247"/>
        <v>115.5581501</v>
      </c>
      <c r="R205" s="31" t="str">
        <f t="shared" si="248"/>
        <v/>
      </c>
      <c r="S205" s="31" t="str">
        <f t="shared" si="249"/>
        <v/>
      </c>
      <c r="T205" s="31" t="str">
        <f t="shared" si="250"/>
        <v/>
      </c>
      <c r="U205" s="31" t="str">
        <f t="shared" si="251"/>
        <v/>
      </c>
      <c r="V205" s="31" t="str">
        <f t="shared" si="252"/>
        <v/>
      </c>
      <c r="W205" s="47">
        <f t="shared" si="253"/>
        <v>288953.1544</v>
      </c>
    </row>
    <row r="206" ht="15.75" customHeight="1">
      <c r="A206" s="46">
        <f t="shared" si="231"/>
        <v>2033</v>
      </c>
      <c r="B206" s="47">
        <f t="shared" si="232"/>
        <v>295830.9264</v>
      </c>
      <c r="C206" s="31">
        <f t="shared" si="233"/>
        <v>49541.77183</v>
      </c>
      <c r="D206" s="31">
        <f t="shared" si="234"/>
        <v>8813.998808</v>
      </c>
      <c r="E206" s="31">
        <f t="shared" si="235"/>
        <v>3194.335139</v>
      </c>
      <c r="F206" s="31">
        <f t="shared" si="236"/>
        <v>28689.86189</v>
      </c>
      <c r="G206" s="31">
        <f t="shared" si="237"/>
        <v>6211.207214</v>
      </c>
      <c r="H206" s="31">
        <f t="shared" si="238"/>
        <v>2099.979582</v>
      </c>
      <c r="I206" s="31">
        <f t="shared" si="239"/>
        <v>1301.395797</v>
      </c>
      <c r="J206" s="31">
        <f t="shared" si="240"/>
        <v>118.3087088</v>
      </c>
      <c r="K206" s="31">
        <f t="shared" si="241"/>
        <v>158918.1731</v>
      </c>
      <c r="L206" s="31">
        <f t="shared" si="242"/>
        <v>6654.864872</v>
      </c>
      <c r="M206" s="31">
        <f t="shared" si="243"/>
        <v>17982.92374</v>
      </c>
      <c r="N206" s="31">
        <f t="shared" si="244"/>
        <v>1981.670873</v>
      </c>
      <c r="O206" s="31">
        <f t="shared" si="245"/>
        <v>6595.710518</v>
      </c>
      <c r="P206" s="31">
        <f t="shared" si="246"/>
        <v>3608.415619</v>
      </c>
      <c r="Q206" s="31">
        <f t="shared" si="247"/>
        <v>118.3087088</v>
      </c>
      <c r="R206" s="31" t="str">
        <f t="shared" si="248"/>
        <v/>
      </c>
      <c r="S206" s="31" t="str">
        <f t="shared" si="249"/>
        <v/>
      </c>
      <c r="T206" s="31" t="str">
        <f t="shared" si="250"/>
        <v/>
      </c>
      <c r="U206" s="31" t="str">
        <f t="shared" si="251"/>
        <v/>
      </c>
      <c r="V206" s="31" t="str">
        <f t="shared" si="252"/>
        <v/>
      </c>
      <c r="W206" s="47">
        <f t="shared" si="253"/>
        <v>295830.9264</v>
      </c>
    </row>
    <row r="207" ht="15.75" customHeight="1">
      <c r="A207" s="46">
        <f t="shared" si="231"/>
        <v>2034</v>
      </c>
      <c r="B207" s="47">
        <f t="shared" si="232"/>
        <v>302708.6985</v>
      </c>
      <c r="C207" s="31">
        <f t="shared" si="233"/>
        <v>50693.56829</v>
      </c>
      <c r="D207" s="31">
        <f t="shared" si="234"/>
        <v>9018.915432</v>
      </c>
      <c r="E207" s="31">
        <f t="shared" si="235"/>
        <v>3268.600224</v>
      </c>
      <c r="F207" s="31">
        <f t="shared" si="236"/>
        <v>29356.87238</v>
      </c>
      <c r="G207" s="31">
        <f t="shared" si="237"/>
        <v>6355.611546</v>
      </c>
      <c r="H207" s="31">
        <f t="shared" si="238"/>
        <v>2148.801999</v>
      </c>
      <c r="I207" s="31">
        <f t="shared" si="239"/>
        <v>1331.651943</v>
      </c>
      <c r="J207" s="31">
        <f t="shared" si="240"/>
        <v>121.0592675</v>
      </c>
      <c r="K207" s="31">
        <f t="shared" si="241"/>
        <v>162612.8611</v>
      </c>
      <c r="L207" s="31">
        <f t="shared" si="242"/>
        <v>6809.583799</v>
      </c>
      <c r="M207" s="31">
        <f t="shared" si="243"/>
        <v>18401.00867</v>
      </c>
      <c r="N207" s="31">
        <f t="shared" si="244"/>
        <v>2027.742731</v>
      </c>
      <c r="O207" s="31">
        <f t="shared" si="245"/>
        <v>6749.054166</v>
      </c>
      <c r="P207" s="31">
        <f t="shared" si="246"/>
        <v>3692.30766</v>
      </c>
      <c r="Q207" s="31">
        <f t="shared" si="247"/>
        <v>121.0592675</v>
      </c>
      <c r="R207" s="31" t="str">
        <f t="shared" si="248"/>
        <v/>
      </c>
      <c r="S207" s="31" t="str">
        <f t="shared" si="249"/>
        <v/>
      </c>
      <c r="T207" s="31" t="str">
        <f t="shared" si="250"/>
        <v/>
      </c>
      <c r="U207" s="31" t="str">
        <f t="shared" si="251"/>
        <v/>
      </c>
      <c r="V207" s="31" t="str">
        <f t="shared" si="252"/>
        <v/>
      </c>
      <c r="W207" s="47">
        <f t="shared" si="253"/>
        <v>302708.6985</v>
      </c>
    </row>
    <row r="208" ht="15.75" customHeight="1">
      <c r="A208" s="46">
        <f t="shared" si="231"/>
        <v>2035</v>
      </c>
      <c r="B208" s="47">
        <f t="shared" si="232"/>
        <v>309586.4706</v>
      </c>
      <c r="C208" s="31">
        <f t="shared" si="233"/>
        <v>51845.36475</v>
      </c>
      <c r="D208" s="31">
        <f t="shared" si="234"/>
        <v>9223.832056</v>
      </c>
      <c r="E208" s="31">
        <f t="shared" si="235"/>
        <v>3342.865309</v>
      </c>
      <c r="F208" s="31">
        <f t="shared" si="236"/>
        <v>30023.88287</v>
      </c>
      <c r="G208" s="31">
        <f t="shared" si="237"/>
        <v>6500.015878</v>
      </c>
      <c r="H208" s="31">
        <f t="shared" si="238"/>
        <v>2197.624416</v>
      </c>
      <c r="I208" s="31">
        <f t="shared" si="239"/>
        <v>1361.908089</v>
      </c>
      <c r="J208" s="31">
        <f t="shared" si="240"/>
        <v>123.8098263</v>
      </c>
      <c r="K208" s="31">
        <f t="shared" si="241"/>
        <v>166307.5491</v>
      </c>
      <c r="L208" s="31">
        <f t="shared" si="242"/>
        <v>6964.302727</v>
      </c>
      <c r="M208" s="31">
        <f t="shared" si="243"/>
        <v>18819.09359</v>
      </c>
      <c r="N208" s="31">
        <f t="shared" si="244"/>
        <v>2073.81459</v>
      </c>
      <c r="O208" s="31">
        <f t="shared" si="245"/>
        <v>6902.397814</v>
      </c>
      <c r="P208" s="31">
        <f t="shared" si="246"/>
        <v>3776.199701</v>
      </c>
      <c r="Q208" s="31">
        <f t="shared" si="247"/>
        <v>123.8098263</v>
      </c>
      <c r="R208" s="31" t="str">
        <f t="shared" si="248"/>
        <v/>
      </c>
      <c r="S208" s="31" t="str">
        <f t="shared" si="249"/>
        <v/>
      </c>
      <c r="T208" s="31" t="str">
        <f t="shared" si="250"/>
        <v/>
      </c>
      <c r="U208" s="31" t="str">
        <f t="shared" si="251"/>
        <v/>
      </c>
      <c r="V208" s="31" t="str">
        <f t="shared" si="252"/>
        <v/>
      </c>
      <c r="W208" s="47">
        <f t="shared" si="253"/>
        <v>309586.4706</v>
      </c>
    </row>
    <row r="209" ht="15.75" customHeight="1">
      <c r="A209" s="46">
        <f t="shared" si="231"/>
        <v>2036</v>
      </c>
      <c r="B209" s="47">
        <f t="shared" si="232"/>
        <v>316464.2426</v>
      </c>
      <c r="C209" s="31">
        <f t="shared" si="233"/>
        <v>52997.16121</v>
      </c>
      <c r="D209" s="31">
        <f t="shared" si="234"/>
        <v>9428.74868</v>
      </c>
      <c r="E209" s="31">
        <f t="shared" si="235"/>
        <v>3417.130394</v>
      </c>
      <c r="F209" s="31">
        <f t="shared" si="236"/>
        <v>30690.89335</v>
      </c>
      <c r="G209" s="31">
        <f t="shared" si="237"/>
        <v>6644.420211</v>
      </c>
      <c r="H209" s="31">
        <f t="shared" si="238"/>
        <v>2246.446833</v>
      </c>
      <c r="I209" s="31">
        <f t="shared" si="239"/>
        <v>1392.164235</v>
      </c>
      <c r="J209" s="31">
        <f t="shared" si="240"/>
        <v>126.560385</v>
      </c>
      <c r="K209" s="31">
        <f t="shared" si="241"/>
        <v>170002.2371</v>
      </c>
      <c r="L209" s="31">
        <f t="shared" si="242"/>
        <v>7119.021654</v>
      </c>
      <c r="M209" s="31">
        <f t="shared" si="243"/>
        <v>19237.17852</v>
      </c>
      <c r="N209" s="31">
        <f t="shared" si="244"/>
        <v>2119.886448</v>
      </c>
      <c r="O209" s="31">
        <f t="shared" si="245"/>
        <v>7055.741462</v>
      </c>
      <c r="P209" s="31">
        <f t="shared" si="246"/>
        <v>3860.091742</v>
      </c>
      <c r="Q209" s="31">
        <f t="shared" si="247"/>
        <v>126.560385</v>
      </c>
      <c r="R209" s="31" t="str">
        <f t="shared" si="248"/>
        <v/>
      </c>
      <c r="S209" s="31" t="str">
        <f t="shared" si="249"/>
        <v/>
      </c>
      <c r="T209" s="31" t="str">
        <f t="shared" si="250"/>
        <v/>
      </c>
      <c r="U209" s="31" t="str">
        <f t="shared" si="251"/>
        <v/>
      </c>
      <c r="V209" s="31" t="str">
        <f t="shared" si="252"/>
        <v/>
      </c>
      <c r="W209" s="47">
        <f t="shared" si="253"/>
        <v>316464.2426</v>
      </c>
    </row>
    <row r="210" ht="15.75" customHeight="1">
      <c r="A210" s="46">
        <f t="shared" si="231"/>
        <v>2037</v>
      </c>
      <c r="B210" s="47">
        <f t="shared" si="232"/>
        <v>323342.0147</v>
      </c>
      <c r="C210" s="31">
        <f t="shared" si="233"/>
        <v>54148.95767</v>
      </c>
      <c r="D210" s="31">
        <f t="shared" si="234"/>
        <v>9633.665304</v>
      </c>
      <c r="E210" s="31">
        <f t="shared" si="235"/>
        <v>3491.395479</v>
      </c>
      <c r="F210" s="31">
        <f t="shared" si="236"/>
        <v>31357.90384</v>
      </c>
      <c r="G210" s="31">
        <f t="shared" si="237"/>
        <v>6788.824543</v>
      </c>
      <c r="H210" s="31">
        <f t="shared" si="238"/>
        <v>2295.26925</v>
      </c>
      <c r="I210" s="31">
        <f t="shared" si="239"/>
        <v>1422.42038</v>
      </c>
      <c r="J210" s="31">
        <f t="shared" si="240"/>
        <v>129.3109437</v>
      </c>
      <c r="K210" s="31">
        <f t="shared" si="241"/>
        <v>173696.9251</v>
      </c>
      <c r="L210" s="31">
        <f t="shared" si="242"/>
        <v>7273.740582</v>
      </c>
      <c r="M210" s="31">
        <f t="shared" si="243"/>
        <v>19655.26344</v>
      </c>
      <c r="N210" s="31">
        <f t="shared" si="244"/>
        <v>2165.958307</v>
      </c>
      <c r="O210" s="31">
        <f t="shared" si="245"/>
        <v>7209.08511</v>
      </c>
      <c r="P210" s="31">
        <f t="shared" si="246"/>
        <v>3943.983782</v>
      </c>
      <c r="Q210" s="31">
        <f t="shared" si="247"/>
        <v>129.3109437</v>
      </c>
      <c r="R210" s="31" t="str">
        <f t="shared" si="248"/>
        <v/>
      </c>
      <c r="S210" s="31" t="str">
        <f t="shared" si="249"/>
        <v/>
      </c>
      <c r="T210" s="31" t="str">
        <f t="shared" si="250"/>
        <v/>
      </c>
      <c r="U210" s="31" t="str">
        <f t="shared" si="251"/>
        <v/>
      </c>
      <c r="V210" s="31" t="str">
        <f t="shared" si="252"/>
        <v/>
      </c>
      <c r="W210" s="47">
        <f t="shared" si="253"/>
        <v>323342.0147</v>
      </c>
    </row>
    <row r="211" ht="15.75" customHeight="1">
      <c r="A211" s="46">
        <f t="shared" si="231"/>
        <v>2038</v>
      </c>
      <c r="B211" s="47">
        <f t="shared" si="232"/>
        <v>330219.7867</v>
      </c>
      <c r="C211" s="31">
        <f t="shared" si="233"/>
        <v>55300.75413</v>
      </c>
      <c r="D211" s="31">
        <f t="shared" si="234"/>
        <v>9838.581928</v>
      </c>
      <c r="E211" s="31">
        <f t="shared" si="235"/>
        <v>3565.660564</v>
      </c>
      <c r="F211" s="31">
        <f t="shared" si="236"/>
        <v>32024.91433</v>
      </c>
      <c r="G211" s="31">
        <f t="shared" si="237"/>
        <v>6933.228875</v>
      </c>
      <c r="H211" s="31">
        <f t="shared" si="238"/>
        <v>2344.091667</v>
      </c>
      <c r="I211" s="31">
        <f t="shared" si="239"/>
        <v>1452.676526</v>
      </c>
      <c r="J211" s="31">
        <f t="shared" si="240"/>
        <v>132.0615024</v>
      </c>
      <c r="K211" s="31">
        <f t="shared" si="241"/>
        <v>177391.6131</v>
      </c>
      <c r="L211" s="31">
        <f t="shared" si="242"/>
        <v>7428.459509</v>
      </c>
      <c r="M211" s="31">
        <f t="shared" si="243"/>
        <v>20073.34836</v>
      </c>
      <c r="N211" s="31">
        <f t="shared" si="244"/>
        <v>2212.030165</v>
      </c>
      <c r="O211" s="31">
        <f t="shared" si="245"/>
        <v>7362.428758</v>
      </c>
      <c r="P211" s="31">
        <f t="shared" si="246"/>
        <v>4027.875823</v>
      </c>
      <c r="Q211" s="31">
        <f t="shared" si="247"/>
        <v>132.0615024</v>
      </c>
      <c r="R211" s="31" t="str">
        <f t="shared" si="248"/>
        <v/>
      </c>
      <c r="S211" s="31" t="str">
        <f t="shared" si="249"/>
        <v/>
      </c>
      <c r="T211" s="31" t="str">
        <f t="shared" si="250"/>
        <v/>
      </c>
      <c r="U211" s="31" t="str">
        <f t="shared" si="251"/>
        <v/>
      </c>
      <c r="V211" s="31" t="str">
        <f t="shared" si="252"/>
        <v/>
      </c>
      <c r="W211" s="47">
        <f t="shared" si="253"/>
        <v>330219.7867</v>
      </c>
    </row>
    <row r="212" ht="15.75" customHeight="1">
      <c r="A212" s="46">
        <f t="shared" si="231"/>
        <v>2039</v>
      </c>
      <c r="B212" s="47">
        <f t="shared" si="232"/>
        <v>337097.5588</v>
      </c>
      <c r="C212" s="31">
        <f t="shared" si="233"/>
        <v>56452.55059</v>
      </c>
      <c r="D212" s="31">
        <f t="shared" si="234"/>
        <v>10043.49855</v>
      </c>
      <c r="E212" s="31">
        <f t="shared" si="235"/>
        <v>3639.92565</v>
      </c>
      <c r="F212" s="31">
        <f t="shared" si="236"/>
        <v>32691.92482</v>
      </c>
      <c r="G212" s="31">
        <f t="shared" si="237"/>
        <v>7077.633208</v>
      </c>
      <c r="H212" s="31">
        <f t="shared" si="238"/>
        <v>2392.914085</v>
      </c>
      <c r="I212" s="31">
        <f t="shared" si="239"/>
        <v>1482.932672</v>
      </c>
      <c r="J212" s="31">
        <f t="shared" si="240"/>
        <v>134.8120611</v>
      </c>
      <c r="K212" s="31">
        <f t="shared" si="241"/>
        <v>181086.3011</v>
      </c>
      <c r="L212" s="31">
        <f t="shared" si="242"/>
        <v>7583.178437</v>
      </c>
      <c r="M212" s="31">
        <f t="shared" si="243"/>
        <v>20491.43329</v>
      </c>
      <c r="N212" s="31">
        <f t="shared" si="244"/>
        <v>2258.102023</v>
      </c>
      <c r="O212" s="31">
        <f t="shared" si="245"/>
        <v>7515.772406</v>
      </c>
      <c r="P212" s="31">
        <f t="shared" si="246"/>
        <v>4111.767864</v>
      </c>
      <c r="Q212" s="31">
        <f t="shared" si="247"/>
        <v>134.8120611</v>
      </c>
      <c r="R212" s="31" t="str">
        <f t="shared" si="248"/>
        <v/>
      </c>
      <c r="S212" s="31" t="str">
        <f t="shared" si="249"/>
        <v/>
      </c>
      <c r="T212" s="31" t="str">
        <f t="shared" si="250"/>
        <v/>
      </c>
      <c r="U212" s="31" t="str">
        <f t="shared" si="251"/>
        <v/>
      </c>
      <c r="V212" s="31" t="str">
        <f t="shared" si="252"/>
        <v/>
      </c>
      <c r="W212" s="47">
        <f t="shared" si="253"/>
        <v>337097.5588</v>
      </c>
    </row>
    <row r="213" ht="15.75" customHeight="1">
      <c r="A213" s="46">
        <f t="shared" si="231"/>
        <v>2040</v>
      </c>
      <c r="B213" s="47">
        <f t="shared" si="232"/>
        <v>343975.3308</v>
      </c>
      <c r="C213" s="31">
        <f t="shared" si="233"/>
        <v>57604.34705</v>
      </c>
      <c r="D213" s="31">
        <f t="shared" si="234"/>
        <v>10248.41518</v>
      </c>
      <c r="E213" s="31">
        <f t="shared" si="235"/>
        <v>3714.190735</v>
      </c>
      <c r="F213" s="31">
        <f t="shared" si="236"/>
        <v>33358.9353</v>
      </c>
      <c r="G213" s="31">
        <f t="shared" si="237"/>
        <v>7222.03754</v>
      </c>
      <c r="H213" s="31">
        <f t="shared" si="238"/>
        <v>2441.736502</v>
      </c>
      <c r="I213" s="31">
        <f t="shared" si="239"/>
        <v>1513.188818</v>
      </c>
      <c r="J213" s="31">
        <f t="shared" si="240"/>
        <v>137.5626198</v>
      </c>
      <c r="K213" s="31">
        <f t="shared" si="241"/>
        <v>184780.9891</v>
      </c>
      <c r="L213" s="31">
        <f t="shared" si="242"/>
        <v>7737.897364</v>
      </c>
      <c r="M213" s="31">
        <f t="shared" si="243"/>
        <v>20909.51821</v>
      </c>
      <c r="N213" s="31">
        <f t="shared" si="244"/>
        <v>2304.173882</v>
      </c>
      <c r="O213" s="31">
        <f t="shared" si="245"/>
        <v>7669.116054</v>
      </c>
      <c r="P213" s="31">
        <f t="shared" si="246"/>
        <v>4195.659904</v>
      </c>
      <c r="Q213" s="31">
        <f t="shared" si="247"/>
        <v>137.5626198</v>
      </c>
      <c r="R213" s="31" t="str">
        <f t="shared" si="248"/>
        <v/>
      </c>
      <c r="S213" s="31" t="str">
        <f t="shared" si="249"/>
        <v/>
      </c>
      <c r="T213" s="31" t="str">
        <f t="shared" si="250"/>
        <v/>
      </c>
      <c r="U213" s="31" t="str">
        <f t="shared" si="251"/>
        <v/>
      </c>
      <c r="V213" s="31" t="str">
        <f t="shared" si="252"/>
        <v/>
      </c>
      <c r="W213" s="47">
        <f t="shared" si="253"/>
        <v>343975.3308</v>
      </c>
    </row>
    <row r="214" ht="15.75" customHeight="1">
      <c r="A214" s="46">
        <f t="shared" si="231"/>
        <v>2041</v>
      </c>
      <c r="B214" s="47">
        <f t="shared" si="232"/>
        <v>350853.1029</v>
      </c>
      <c r="C214" s="31">
        <f t="shared" si="233"/>
        <v>58756.14351</v>
      </c>
      <c r="D214" s="31">
        <f t="shared" si="234"/>
        <v>10453.3318</v>
      </c>
      <c r="E214" s="31">
        <f t="shared" si="235"/>
        <v>3788.45582</v>
      </c>
      <c r="F214" s="31">
        <f t="shared" si="236"/>
        <v>34025.94579</v>
      </c>
      <c r="G214" s="31">
        <f t="shared" si="237"/>
        <v>7366.441872</v>
      </c>
      <c r="H214" s="31">
        <f t="shared" si="238"/>
        <v>2490.558919</v>
      </c>
      <c r="I214" s="31">
        <f t="shared" si="239"/>
        <v>1543.444964</v>
      </c>
      <c r="J214" s="31">
        <f t="shared" si="240"/>
        <v>140.3131785</v>
      </c>
      <c r="K214" s="31">
        <f t="shared" si="241"/>
        <v>188475.677</v>
      </c>
      <c r="L214" s="31">
        <f t="shared" si="242"/>
        <v>7892.616292</v>
      </c>
      <c r="M214" s="31">
        <f t="shared" si="243"/>
        <v>21327.60314</v>
      </c>
      <c r="N214" s="31">
        <f t="shared" si="244"/>
        <v>2350.24574</v>
      </c>
      <c r="O214" s="31">
        <f t="shared" si="245"/>
        <v>7822.459702</v>
      </c>
      <c r="P214" s="31">
        <f t="shared" si="246"/>
        <v>4279.551945</v>
      </c>
      <c r="Q214" s="31">
        <f t="shared" si="247"/>
        <v>140.3131785</v>
      </c>
      <c r="R214" s="31" t="str">
        <f t="shared" si="248"/>
        <v/>
      </c>
      <c r="S214" s="31" t="str">
        <f t="shared" si="249"/>
        <v/>
      </c>
      <c r="T214" s="31" t="str">
        <f t="shared" si="250"/>
        <v/>
      </c>
      <c r="U214" s="31" t="str">
        <f t="shared" si="251"/>
        <v/>
      </c>
      <c r="V214" s="31" t="str">
        <f t="shared" si="252"/>
        <v/>
      </c>
      <c r="W214" s="47">
        <f t="shared" si="253"/>
        <v>350853.1029</v>
      </c>
    </row>
    <row r="215" ht="15.75" customHeight="1">
      <c r="A215" s="46">
        <f t="shared" si="231"/>
        <v>2042</v>
      </c>
      <c r="B215" s="47">
        <f t="shared" si="232"/>
        <v>357730.8749</v>
      </c>
      <c r="C215" s="31">
        <f t="shared" si="233"/>
        <v>59907.93997</v>
      </c>
      <c r="D215" s="31">
        <f t="shared" si="234"/>
        <v>10658.24842</v>
      </c>
      <c r="E215" s="31">
        <f t="shared" si="235"/>
        <v>3862.720905</v>
      </c>
      <c r="F215" s="31">
        <f t="shared" si="236"/>
        <v>34692.95628</v>
      </c>
      <c r="G215" s="31">
        <f t="shared" si="237"/>
        <v>7510.846205</v>
      </c>
      <c r="H215" s="31">
        <f t="shared" si="238"/>
        <v>2539.381336</v>
      </c>
      <c r="I215" s="31">
        <f t="shared" si="239"/>
        <v>1573.70111</v>
      </c>
      <c r="J215" s="31">
        <f t="shared" si="240"/>
        <v>143.0637372</v>
      </c>
      <c r="K215" s="31">
        <f t="shared" si="241"/>
        <v>192170.365</v>
      </c>
      <c r="L215" s="31">
        <f t="shared" si="242"/>
        <v>8047.335219</v>
      </c>
      <c r="M215" s="31">
        <f t="shared" si="243"/>
        <v>21745.68806</v>
      </c>
      <c r="N215" s="31">
        <f t="shared" si="244"/>
        <v>2396.317599</v>
      </c>
      <c r="O215" s="31">
        <f t="shared" si="245"/>
        <v>7975.803351</v>
      </c>
      <c r="P215" s="31">
        <f t="shared" si="246"/>
        <v>4363.443986</v>
      </c>
      <c r="Q215" s="31">
        <f t="shared" si="247"/>
        <v>143.0637372</v>
      </c>
      <c r="R215" s="31" t="str">
        <f t="shared" si="248"/>
        <v/>
      </c>
      <c r="S215" s="31" t="str">
        <f t="shared" si="249"/>
        <v/>
      </c>
      <c r="T215" s="31" t="str">
        <f t="shared" si="250"/>
        <v/>
      </c>
      <c r="U215" s="31" t="str">
        <f t="shared" si="251"/>
        <v/>
      </c>
      <c r="V215" s="31" t="str">
        <f t="shared" si="252"/>
        <v/>
      </c>
      <c r="W215" s="47">
        <f t="shared" si="253"/>
        <v>357730.8749</v>
      </c>
    </row>
    <row r="216" ht="15.75" customHeight="1">
      <c r="A216" s="46">
        <f t="shared" si="231"/>
        <v>2043</v>
      </c>
      <c r="B216" s="47">
        <f t="shared" si="232"/>
        <v>364608.647</v>
      </c>
      <c r="C216" s="31">
        <f t="shared" si="233"/>
        <v>61059.73643</v>
      </c>
      <c r="D216" s="31">
        <f t="shared" si="234"/>
        <v>10863.16505</v>
      </c>
      <c r="E216" s="31">
        <f t="shared" si="235"/>
        <v>3936.98599</v>
      </c>
      <c r="F216" s="31">
        <f t="shared" si="236"/>
        <v>35359.96677</v>
      </c>
      <c r="G216" s="31">
        <f t="shared" si="237"/>
        <v>7655.250537</v>
      </c>
      <c r="H216" s="31">
        <f t="shared" si="238"/>
        <v>2588.203753</v>
      </c>
      <c r="I216" s="31">
        <f t="shared" si="239"/>
        <v>1603.957255</v>
      </c>
      <c r="J216" s="31">
        <f t="shared" si="240"/>
        <v>145.8142959</v>
      </c>
      <c r="K216" s="31">
        <f t="shared" si="241"/>
        <v>195865.053</v>
      </c>
      <c r="L216" s="31">
        <f t="shared" si="242"/>
        <v>8202.054147</v>
      </c>
      <c r="M216" s="31">
        <f t="shared" si="243"/>
        <v>22163.77298</v>
      </c>
      <c r="N216" s="31">
        <f t="shared" si="244"/>
        <v>2442.389457</v>
      </c>
      <c r="O216" s="31">
        <f t="shared" si="245"/>
        <v>8129.146999</v>
      </c>
      <c r="P216" s="31">
        <f t="shared" si="246"/>
        <v>4447.336026</v>
      </c>
      <c r="Q216" s="31">
        <f t="shared" si="247"/>
        <v>145.8142959</v>
      </c>
      <c r="R216" s="31" t="str">
        <f t="shared" si="248"/>
        <v/>
      </c>
      <c r="S216" s="31" t="str">
        <f t="shared" si="249"/>
        <v/>
      </c>
      <c r="T216" s="31" t="str">
        <f t="shared" si="250"/>
        <v/>
      </c>
      <c r="U216" s="31" t="str">
        <f t="shared" si="251"/>
        <v/>
      </c>
      <c r="V216" s="31" t="str">
        <f t="shared" si="252"/>
        <v/>
      </c>
      <c r="W216" s="47">
        <f t="shared" si="253"/>
        <v>364608.647</v>
      </c>
    </row>
    <row r="217" ht="15.75" customHeight="1">
      <c r="A217" s="46">
        <f t="shared" si="231"/>
        <v>2044</v>
      </c>
      <c r="B217" s="47">
        <f t="shared" si="232"/>
        <v>371486.4191</v>
      </c>
      <c r="C217" s="31">
        <f t="shared" si="233"/>
        <v>62211.53289</v>
      </c>
      <c r="D217" s="31">
        <f t="shared" si="234"/>
        <v>11068.08167</v>
      </c>
      <c r="E217" s="31">
        <f t="shared" si="235"/>
        <v>4011.251076</v>
      </c>
      <c r="F217" s="31">
        <f t="shared" si="236"/>
        <v>36026.97725</v>
      </c>
      <c r="G217" s="31">
        <f t="shared" si="237"/>
        <v>7799.654869</v>
      </c>
      <c r="H217" s="31">
        <f t="shared" si="238"/>
        <v>2637.02617</v>
      </c>
      <c r="I217" s="31">
        <f t="shared" si="239"/>
        <v>1634.213401</v>
      </c>
      <c r="J217" s="31">
        <f t="shared" si="240"/>
        <v>148.5648547</v>
      </c>
      <c r="K217" s="31">
        <f t="shared" si="241"/>
        <v>199559.741</v>
      </c>
      <c r="L217" s="31">
        <f t="shared" si="242"/>
        <v>8356.773074</v>
      </c>
      <c r="M217" s="31">
        <f t="shared" si="243"/>
        <v>22581.85791</v>
      </c>
      <c r="N217" s="31">
        <f t="shared" si="244"/>
        <v>2488.461315</v>
      </c>
      <c r="O217" s="31">
        <f t="shared" si="245"/>
        <v>8282.490647</v>
      </c>
      <c r="P217" s="31">
        <f t="shared" si="246"/>
        <v>4531.228067</v>
      </c>
      <c r="Q217" s="31">
        <f t="shared" si="247"/>
        <v>148.5648547</v>
      </c>
      <c r="R217" s="31" t="str">
        <f t="shared" si="248"/>
        <v/>
      </c>
      <c r="S217" s="31" t="str">
        <f t="shared" si="249"/>
        <v/>
      </c>
      <c r="T217" s="31" t="str">
        <f t="shared" si="250"/>
        <v/>
      </c>
      <c r="U217" s="31" t="str">
        <f t="shared" si="251"/>
        <v/>
      </c>
      <c r="V217" s="31" t="str">
        <f t="shared" si="252"/>
        <v/>
      </c>
      <c r="W217" s="47">
        <f t="shared" si="253"/>
        <v>371486.4191</v>
      </c>
    </row>
    <row r="218" ht="15.75" customHeight="1">
      <c r="A218" s="46">
        <f t="shared" si="231"/>
        <v>2045</v>
      </c>
      <c r="B218" s="47">
        <f t="shared" si="232"/>
        <v>378364.1911</v>
      </c>
      <c r="C218" s="31">
        <f t="shared" si="233"/>
        <v>63363.32935</v>
      </c>
      <c r="D218" s="31">
        <f t="shared" si="234"/>
        <v>11272.9983</v>
      </c>
      <c r="E218" s="31">
        <f t="shared" si="235"/>
        <v>4085.516161</v>
      </c>
      <c r="F218" s="31">
        <f t="shared" si="236"/>
        <v>36693.98774</v>
      </c>
      <c r="G218" s="31">
        <f t="shared" si="237"/>
        <v>7944.059201</v>
      </c>
      <c r="H218" s="31">
        <f t="shared" si="238"/>
        <v>2685.848587</v>
      </c>
      <c r="I218" s="31">
        <f t="shared" si="239"/>
        <v>1664.469547</v>
      </c>
      <c r="J218" s="31">
        <f t="shared" si="240"/>
        <v>151.3154134</v>
      </c>
      <c r="K218" s="31">
        <f t="shared" si="241"/>
        <v>203254.429</v>
      </c>
      <c r="L218" s="31">
        <f t="shared" si="242"/>
        <v>8511.492002</v>
      </c>
      <c r="M218" s="31">
        <f t="shared" si="243"/>
        <v>22999.94283</v>
      </c>
      <c r="N218" s="31">
        <f t="shared" si="244"/>
        <v>2534.533174</v>
      </c>
      <c r="O218" s="31">
        <f t="shared" si="245"/>
        <v>8435.834295</v>
      </c>
      <c r="P218" s="31">
        <f t="shared" si="246"/>
        <v>4615.120108</v>
      </c>
      <c r="Q218" s="31">
        <f t="shared" si="247"/>
        <v>151.3154134</v>
      </c>
      <c r="R218" s="31" t="str">
        <f t="shared" si="248"/>
        <v/>
      </c>
      <c r="S218" s="31" t="str">
        <f t="shared" si="249"/>
        <v/>
      </c>
      <c r="T218" s="31" t="str">
        <f t="shared" si="250"/>
        <v/>
      </c>
      <c r="U218" s="31" t="str">
        <f t="shared" si="251"/>
        <v/>
      </c>
      <c r="V218" s="31" t="str">
        <f t="shared" si="252"/>
        <v/>
      </c>
      <c r="W218" s="47">
        <f t="shared" si="253"/>
        <v>378364.1911</v>
      </c>
    </row>
    <row r="219" ht="15.75" customHeight="1">
      <c r="A219" s="46">
        <f t="shared" si="231"/>
        <v>2046</v>
      </c>
      <c r="B219" s="47">
        <f t="shared" si="232"/>
        <v>385241.9632</v>
      </c>
      <c r="C219" s="31">
        <f t="shared" si="233"/>
        <v>64515.12581</v>
      </c>
      <c r="D219" s="31">
        <f t="shared" si="234"/>
        <v>11477.91492</v>
      </c>
      <c r="E219" s="31">
        <f t="shared" si="235"/>
        <v>4159.781246</v>
      </c>
      <c r="F219" s="31">
        <f t="shared" si="236"/>
        <v>37360.99823</v>
      </c>
      <c r="G219" s="31">
        <f t="shared" si="237"/>
        <v>8088.463534</v>
      </c>
      <c r="H219" s="31">
        <f t="shared" si="238"/>
        <v>2734.671004</v>
      </c>
      <c r="I219" s="31">
        <f t="shared" si="239"/>
        <v>1694.725693</v>
      </c>
      <c r="J219" s="31">
        <f t="shared" si="240"/>
        <v>154.0659721</v>
      </c>
      <c r="K219" s="31">
        <f t="shared" si="241"/>
        <v>206949.117</v>
      </c>
      <c r="L219" s="31">
        <f t="shared" si="242"/>
        <v>8666.210929</v>
      </c>
      <c r="M219" s="31">
        <f t="shared" si="243"/>
        <v>23418.02775</v>
      </c>
      <c r="N219" s="31">
        <f t="shared" si="244"/>
        <v>2580.605032</v>
      </c>
      <c r="O219" s="31">
        <f t="shared" si="245"/>
        <v>8589.177943</v>
      </c>
      <c r="P219" s="31">
        <f t="shared" si="246"/>
        <v>4699.012148</v>
      </c>
      <c r="Q219" s="31">
        <f t="shared" si="247"/>
        <v>154.0659721</v>
      </c>
      <c r="R219" s="31" t="str">
        <f t="shared" si="248"/>
        <v/>
      </c>
      <c r="S219" s="31" t="str">
        <f t="shared" si="249"/>
        <v/>
      </c>
      <c r="T219" s="31" t="str">
        <f t="shared" si="250"/>
        <v/>
      </c>
      <c r="U219" s="31" t="str">
        <f t="shared" si="251"/>
        <v/>
      </c>
      <c r="V219" s="31" t="str">
        <f t="shared" si="252"/>
        <v/>
      </c>
      <c r="W219" s="47">
        <f t="shared" si="253"/>
        <v>385241.9632</v>
      </c>
    </row>
    <row r="220" ht="15.75" customHeight="1">
      <c r="A220" s="46">
        <f t="shared" si="231"/>
        <v>2047</v>
      </c>
      <c r="B220" s="47">
        <f t="shared" si="232"/>
        <v>392119.7352</v>
      </c>
      <c r="C220" s="31">
        <f t="shared" si="233"/>
        <v>65666.92227</v>
      </c>
      <c r="D220" s="31">
        <f t="shared" si="234"/>
        <v>11682.83154</v>
      </c>
      <c r="E220" s="31">
        <f t="shared" si="235"/>
        <v>4234.046331</v>
      </c>
      <c r="F220" s="31">
        <f t="shared" si="236"/>
        <v>38028.00871</v>
      </c>
      <c r="G220" s="31">
        <f t="shared" si="237"/>
        <v>8232.867866</v>
      </c>
      <c r="H220" s="31">
        <f t="shared" si="238"/>
        <v>2783.493421</v>
      </c>
      <c r="I220" s="31">
        <f t="shared" si="239"/>
        <v>1724.981839</v>
      </c>
      <c r="J220" s="31">
        <f t="shared" si="240"/>
        <v>156.8165308</v>
      </c>
      <c r="K220" s="31">
        <f t="shared" si="241"/>
        <v>210643.805</v>
      </c>
      <c r="L220" s="31">
        <f t="shared" si="242"/>
        <v>8820.929857</v>
      </c>
      <c r="M220" s="31">
        <f t="shared" si="243"/>
        <v>23836.11268</v>
      </c>
      <c r="N220" s="31">
        <f t="shared" si="244"/>
        <v>2626.676891</v>
      </c>
      <c r="O220" s="31">
        <f t="shared" si="245"/>
        <v>8742.521591</v>
      </c>
      <c r="P220" s="31">
        <f t="shared" si="246"/>
        <v>4782.904189</v>
      </c>
      <c r="Q220" s="31">
        <f t="shared" si="247"/>
        <v>156.8165308</v>
      </c>
      <c r="R220" s="31" t="str">
        <f t="shared" si="248"/>
        <v/>
      </c>
      <c r="S220" s="31" t="str">
        <f t="shared" si="249"/>
        <v/>
      </c>
      <c r="T220" s="31" t="str">
        <f t="shared" si="250"/>
        <v/>
      </c>
      <c r="U220" s="31" t="str">
        <f t="shared" si="251"/>
        <v/>
      </c>
      <c r="V220" s="31" t="str">
        <f t="shared" si="252"/>
        <v/>
      </c>
      <c r="W220" s="47">
        <f t="shared" si="253"/>
        <v>392119.7352</v>
      </c>
    </row>
    <row r="221" ht="15.75" customHeight="1">
      <c r="A221" s="46">
        <f t="shared" si="231"/>
        <v>2048</v>
      </c>
      <c r="B221" s="47">
        <f t="shared" si="232"/>
        <v>398997.5073</v>
      </c>
      <c r="C221" s="31">
        <f t="shared" si="233"/>
        <v>66818.71873</v>
      </c>
      <c r="D221" s="31">
        <f t="shared" si="234"/>
        <v>11887.74817</v>
      </c>
      <c r="E221" s="31">
        <f t="shared" si="235"/>
        <v>4308.311416</v>
      </c>
      <c r="F221" s="31">
        <f t="shared" si="236"/>
        <v>38695.0192</v>
      </c>
      <c r="G221" s="31">
        <f t="shared" si="237"/>
        <v>8377.272198</v>
      </c>
      <c r="H221" s="31">
        <f t="shared" si="238"/>
        <v>2832.315839</v>
      </c>
      <c r="I221" s="31">
        <f t="shared" si="239"/>
        <v>1755.237984</v>
      </c>
      <c r="J221" s="31">
        <f t="shared" si="240"/>
        <v>159.5670895</v>
      </c>
      <c r="K221" s="31">
        <f t="shared" si="241"/>
        <v>214338.493</v>
      </c>
      <c r="L221" s="31">
        <f t="shared" si="242"/>
        <v>8975.648784</v>
      </c>
      <c r="M221" s="31">
        <f t="shared" si="243"/>
        <v>24254.1976</v>
      </c>
      <c r="N221" s="31">
        <f t="shared" si="244"/>
        <v>2672.748749</v>
      </c>
      <c r="O221" s="31">
        <f t="shared" si="245"/>
        <v>8895.865239</v>
      </c>
      <c r="P221" s="31">
        <f t="shared" si="246"/>
        <v>4866.79623</v>
      </c>
      <c r="Q221" s="31">
        <f t="shared" si="247"/>
        <v>159.5670895</v>
      </c>
      <c r="R221" s="31" t="str">
        <f t="shared" si="248"/>
        <v/>
      </c>
      <c r="S221" s="31" t="str">
        <f t="shared" si="249"/>
        <v/>
      </c>
      <c r="T221" s="31" t="str">
        <f t="shared" si="250"/>
        <v/>
      </c>
      <c r="U221" s="31" t="str">
        <f t="shared" si="251"/>
        <v/>
      </c>
      <c r="V221" s="31" t="str">
        <f t="shared" si="252"/>
        <v/>
      </c>
      <c r="W221" s="47">
        <f t="shared" si="253"/>
        <v>398997.5073</v>
      </c>
    </row>
    <row r="222" ht="15.75" customHeight="1">
      <c r="A222" s="46">
        <f t="shared" si="231"/>
        <v>2049</v>
      </c>
      <c r="B222" s="47">
        <f t="shared" si="232"/>
        <v>405875.2793</v>
      </c>
      <c r="C222" s="31">
        <f t="shared" si="233"/>
        <v>67970.51519</v>
      </c>
      <c r="D222" s="31">
        <f t="shared" si="234"/>
        <v>12092.66479</v>
      </c>
      <c r="E222" s="31">
        <f t="shared" si="235"/>
        <v>4382.576501</v>
      </c>
      <c r="F222" s="31">
        <f t="shared" si="236"/>
        <v>39362.02969</v>
      </c>
      <c r="G222" s="31">
        <f t="shared" si="237"/>
        <v>8521.676531</v>
      </c>
      <c r="H222" s="31">
        <f t="shared" si="238"/>
        <v>2881.138256</v>
      </c>
      <c r="I222" s="31">
        <f t="shared" si="239"/>
        <v>1785.49413</v>
      </c>
      <c r="J222" s="31">
        <f t="shared" si="240"/>
        <v>162.3176482</v>
      </c>
      <c r="K222" s="31">
        <f t="shared" si="241"/>
        <v>218033.1809</v>
      </c>
      <c r="L222" s="31">
        <f t="shared" si="242"/>
        <v>9130.367711</v>
      </c>
      <c r="M222" s="31">
        <f t="shared" si="243"/>
        <v>24672.28253</v>
      </c>
      <c r="N222" s="31">
        <f t="shared" si="244"/>
        <v>2718.820607</v>
      </c>
      <c r="O222" s="31">
        <f t="shared" si="245"/>
        <v>9049.208887</v>
      </c>
      <c r="P222" s="31">
        <f t="shared" si="246"/>
        <v>4950.68827</v>
      </c>
      <c r="Q222" s="31">
        <f t="shared" si="247"/>
        <v>162.3176482</v>
      </c>
      <c r="R222" s="31" t="str">
        <f t="shared" si="248"/>
        <v/>
      </c>
      <c r="S222" s="31" t="str">
        <f t="shared" si="249"/>
        <v/>
      </c>
      <c r="T222" s="31" t="str">
        <f t="shared" si="250"/>
        <v/>
      </c>
      <c r="U222" s="31" t="str">
        <f t="shared" si="251"/>
        <v/>
      </c>
      <c r="V222" s="31" t="str">
        <f t="shared" si="252"/>
        <v/>
      </c>
      <c r="W222" s="47">
        <f t="shared" si="253"/>
        <v>405875.2793</v>
      </c>
    </row>
    <row r="223" ht="15.75" customHeight="1">
      <c r="A223" s="46">
        <f t="shared" si="231"/>
        <v>2050</v>
      </c>
      <c r="B223" s="47">
        <f t="shared" si="232"/>
        <v>412753.0514</v>
      </c>
      <c r="C223" s="31">
        <f t="shared" si="233"/>
        <v>69122.31165</v>
      </c>
      <c r="D223" s="31">
        <f t="shared" si="234"/>
        <v>12297.58142</v>
      </c>
      <c r="E223" s="31">
        <f t="shared" si="235"/>
        <v>4456.841587</v>
      </c>
      <c r="F223" s="31">
        <f t="shared" si="236"/>
        <v>40029.04018</v>
      </c>
      <c r="G223" s="31">
        <f t="shared" si="237"/>
        <v>8666.080863</v>
      </c>
      <c r="H223" s="31">
        <f t="shared" si="238"/>
        <v>2929.960673</v>
      </c>
      <c r="I223" s="31">
        <f t="shared" si="239"/>
        <v>1815.750276</v>
      </c>
      <c r="J223" s="31">
        <f t="shared" si="240"/>
        <v>165.0682069</v>
      </c>
      <c r="K223" s="31">
        <f t="shared" si="241"/>
        <v>221727.8689</v>
      </c>
      <c r="L223" s="31">
        <f t="shared" si="242"/>
        <v>9285.086639</v>
      </c>
      <c r="M223" s="31">
        <f t="shared" si="243"/>
        <v>25090.36745</v>
      </c>
      <c r="N223" s="31">
        <f t="shared" si="244"/>
        <v>2764.892466</v>
      </c>
      <c r="O223" s="31">
        <f t="shared" si="245"/>
        <v>9202.552535</v>
      </c>
      <c r="P223" s="31">
        <f t="shared" si="246"/>
        <v>5034.580311</v>
      </c>
      <c r="Q223" s="31">
        <f t="shared" si="247"/>
        <v>165.0682069</v>
      </c>
      <c r="R223" s="31" t="str">
        <f t="shared" si="248"/>
        <v/>
      </c>
      <c r="S223" s="31" t="str">
        <f t="shared" si="249"/>
        <v/>
      </c>
      <c r="T223" s="31" t="str">
        <f t="shared" si="250"/>
        <v/>
      </c>
      <c r="U223" s="31" t="str">
        <f t="shared" si="251"/>
        <v/>
      </c>
      <c r="V223" s="31" t="str">
        <f t="shared" si="252"/>
        <v/>
      </c>
      <c r="W223" s="47">
        <f t="shared" si="253"/>
        <v>412753.0514</v>
      </c>
    </row>
    <row r="224" ht="15.75" customHeight="1">
      <c r="A224" s="46">
        <f t="shared" si="231"/>
        <v>2051</v>
      </c>
      <c r="B224" s="47">
        <f t="shared" si="232"/>
        <v>419630.8234</v>
      </c>
      <c r="C224" s="31">
        <f t="shared" si="233"/>
        <v>70274.10811</v>
      </c>
      <c r="D224" s="31">
        <f t="shared" si="234"/>
        <v>12502.49804</v>
      </c>
      <c r="E224" s="31">
        <f t="shared" si="235"/>
        <v>4531.106672</v>
      </c>
      <c r="F224" s="31">
        <f t="shared" si="236"/>
        <v>40696.05066</v>
      </c>
      <c r="G224" s="31">
        <f t="shared" si="237"/>
        <v>8810.485195</v>
      </c>
      <c r="H224" s="31">
        <f t="shared" si="238"/>
        <v>2978.78309</v>
      </c>
      <c r="I224" s="31">
        <f t="shared" si="239"/>
        <v>1846.006422</v>
      </c>
      <c r="J224" s="31">
        <f t="shared" si="240"/>
        <v>167.8187656</v>
      </c>
      <c r="K224" s="31">
        <f t="shared" si="241"/>
        <v>225422.5569</v>
      </c>
      <c r="L224" s="31">
        <f t="shared" si="242"/>
        <v>9439.805566</v>
      </c>
      <c r="M224" s="31">
        <f t="shared" si="243"/>
        <v>25508.45237</v>
      </c>
      <c r="N224" s="31">
        <f t="shared" si="244"/>
        <v>2810.964324</v>
      </c>
      <c r="O224" s="31">
        <f t="shared" si="245"/>
        <v>9355.896184</v>
      </c>
      <c r="P224" s="31">
        <f t="shared" si="246"/>
        <v>5118.472352</v>
      </c>
      <c r="Q224" s="31">
        <f t="shared" si="247"/>
        <v>167.8187656</v>
      </c>
      <c r="R224" s="31" t="str">
        <f t="shared" si="248"/>
        <v/>
      </c>
      <c r="S224" s="31" t="str">
        <f t="shared" si="249"/>
        <v/>
      </c>
      <c r="T224" s="31" t="str">
        <f t="shared" si="250"/>
        <v/>
      </c>
      <c r="U224" s="31" t="str">
        <f t="shared" si="251"/>
        <v/>
      </c>
      <c r="V224" s="31" t="str">
        <f t="shared" si="252"/>
        <v/>
      </c>
      <c r="W224" s="47">
        <f t="shared" si="253"/>
        <v>419630.8234</v>
      </c>
    </row>
    <row r="225" ht="15.75" customHeight="1">
      <c r="A225" s="46">
        <f t="shared" si="231"/>
        <v>2052</v>
      </c>
      <c r="B225" s="47">
        <f t="shared" si="232"/>
        <v>426508.5955</v>
      </c>
      <c r="C225" s="31">
        <f t="shared" si="233"/>
        <v>71425.90457</v>
      </c>
      <c r="D225" s="31">
        <f t="shared" si="234"/>
        <v>12707.41466</v>
      </c>
      <c r="E225" s="31">
        <f t="shared" si="235"/>
        <v>4605.371757</v>
      </c>
      <c r="F225" s="31">
        <f t="shared" si="236"/>
        <v>41363.06115</v>
      </c>
      <c r="G225" s="31">
        <f t="shared" si="237"/>
        <v>8954.889528</v>
      </c>
      <c r="H225" s="31">
        <f t="shared" si="238"/>
        <v>3027.605507</v>
      </c>
      <c r="I225" s="31">
        <f t="shared" si="239"/>
        <v>1876.262568</v>
      </c>
      <c r="J225" s="31">
        <f t="shared" si="240"/>
        <v>170.5693243</v>
      </c>
      <c r="K225" s="31">
        <f t="shared" si="241"/>
        <v>229117.2449</v>
      </c>
      <c r="L225" s="31">
        <f t="shared" si="242"/>
        <v>9594.524494</v>
      </c>
      <c r="M225" s="31">
        <f t="shared" si="243"/>
        <v>25926.5373</v>
      </c>
      <c r="N225" s="31">
        <f t="shared" si="244"/>
        <v>2857.036183</v>
      </c>
      <c r="O225" s="31">
        <f t="shared" si="245"/>
        <v>9509.239832</v>
      </c>
      <c r="P225" s="31">
        <f t="shared" si="246"/>
        <v>5202.364392</v>
      </c>
      <c r="Q225" s="31">
        <f t="shared" si="247"/>
        <v>170.5693243</v>
      </c>
      <c r="R225" s="31" t="str">
        <f t="shared" si="248"/>
        <v/>
      </c>
      <c r="S225" s="31" t="str">
        <f t="shared" si="249"/>
        <v/>
      </c>
      <c r="T225" s="31" t="str">
        <f t="shared" si="250"/>
        <v/>
      </c>
      <c r="U225" s="31" t="str">
        <f t="shared" si="251"/>
        <v/>
      </c>
      <c r="V225" s="31" t="str">
        <f t="shared" si="252"/>
        <v/>
      </c>
      <c r="W225" s="47">
        <f t="shared" si="253"/>
        <v>426508.5955</v>
      </c>
    </row>
    <row r="226" ht="15.75" customHeight="1">
      <c r="A226" s="46">
        <f t="shared" si="231"/>
        <v>2053</v>
      </c>
      <c r="B226" s="47">
        <f t="shared" si="232"/>
        <v>433386.3676</v>
      </c>
      <c r="C226" s="31">
        <f t="shared" si="233"/>
        <v>72577.70103</v>
      </c>
      <c r="D226" s="31">
        <f t="shared" si="234"/>
        <v>12912.33129</v>
      </c>
      <c r="E226" s="31">
        <f t="shared" si="235"/>
        <v>4679.636842</v>
      </c>
      <c r="F226" s="31">
        <f t="shared" si="236"/>
        <v>42030.07164</v>
      </c>
      <c r="G226" s="31">
        <f t="shared" si="237"/>
        <v>9099.29386</v>
      </c>
      <c r="H226" s="31">
        <f t="shared" si="238"/>
        <v>3076.427924</v>
      </c>
      <c r="I226" s="31">
        <f t="shared" si="239"/>
        <v>1906.518714</v>
      </c>
      <c r="J226" s="31">
        <f t="shared" si="240"/>
        <v>173.319883</v>
      </c>
      <c r="K226" s="31">
        <f t="shared" si="241"/>
        <v>232811.9329</v>
      </c>
      <c r="L226" s="31">
        <f t="shared" si="242"/>
        <v>9749.243421</v>
      </c>
      <c r="M226" s="31">
        <f t="shared" si="243"/>
        <v>26344.62222</v>
      </c>
      <c r="N226" s="31">
        <f t="shared" si="244"/>
        <v>2903.108041</v>
      </c>
      <c r="O226" s="31">
        <f t="shared" si="245"/>
        <v>9662.58348</v>
      </c>
      <c r="P226" s="31">
        <f t="shared" si="246"/>
        <v>5286.256433</v>
      </c>
      <c r="Q226" s="31">
        <f t="shared" si="247"/>
        <v>173.319883</v>
      </c>
      <c r="R226" s="31" t="str">
        <f t="shared" si="248"/>
        <v/>
      </c>
      <c r="S226" s="31" t="str">
        <f t="shared" si="249"/>
        <v/>
      </c>
      <c r="T226" s="31" t="str">
        <f t="shared" si="250"/>
        <v/>
      </c>
      <c r="U226" s="31" t="str">
        <f t="shared" si="251"/>
        <v/>
      </c>
      <c r="V226" s="31" t="str">
        <f t="shared" si="252"/>
        <v/>
      </c>
      <c r="W226" s="47">
        <f t="shared" si="253"/>
        <v>433386.3676</v>
      </c>
    </row>
    <row r="227" ht="15.75" customHeight="1">
      <c r="A227" s="46">
        <f t="shared" si="231"/>
        <v>2054</v>
      </c>
      <c r="B227" s="47">
        <f t="shared" si="232"/>
        <v>440264.1396</v>
      </c>
      <c r="C227" s="31">
        <f t="shared" si="233"/>
        <v>73729.49749</v>
      </c>
      <c r="D227" s="31">
        <f t="shared" si="234"/>
        <v>13117.24791</v>
      </c>
      <c r="E227" s="31">
        <f t="shared" si="235"/>
        <v>4753.901927</v>
      </c>
      <c r="F227" s="31">
        <f t="shared" si="236"/>
        <v>42697.08213</v>
      </c>
      <c r="G227" s="31">
        <f t="shared" si="237"/>
        <v>9243.698192</v>
      </c>
      <c r="H227" s="31">
        <f t="shared" si="238"/>
        <v>3125.250341</v>
      </c>
      <c r="I227" s="31">
        <f t="shared" si="239"/>
        <v>1936.774859</v>
      </c>
      <c r="J227" s="31">
        <f t="shared" si="240"/>
        <v>176.0704418</v>
      </c>
      <c r="K227" s="31">
        <f t="shared" si="241"/>
        <v>236506.6209</v>
      </c>
      <c r="L227" s="31">
        <f t="shared" si="242"/>
        <v>9903.962349</v>
      </c>
      <c r="M227" s="31">
        <f t="shared" si="243"/>
        <v>26762.70715</v>
      </c>
      <c r="N227" s="31">
        <f t="shared" si="244"/>
        <v>2949.179899</v>
      </c>
      <c r="O227" s="31">
        <f t="shared" si="245"/>
        <v>9815.927128</v>
      </c>
      <c r="P227" s="31">
        <f t="shared" si="246"/>
        <v>5370.148474</v>
      </c>
      <c r="Q227" s="31">
        <f t="shared" si="247"/>
        <v>176.0704418</v>
      </c>
      <c r="R227" s="31" t="str">
        <f t="shared" si="248"/>
        <v/>
      </c>
      <c r="S227" s="31" t="str">
        <f t="shared" si="249"/>
        <v/>
      </c>
      <c r="T227" s="31" t="str">
        <f t="shared" si="250"/>
        <v/>
      </c>
      <c r="U227" s="31" t="str">
        <f t="shared" si="251"/>
        <v/>
      </c>
      <c r="V227" s="31" t="str">
        <f t="shared" si="252"/>
        <v/>
      </c>
      <c r="W227" s="47">
        <f t="shared" si="253"/>
        <v>440264.1396</v>
      </c>
    </row>
    <row r="228" ht="15.75" customHeight="1">
      <c r="A228" s="50" t="str">
        <f>"Total "&amp;$A$56&amp;"–"&amp;$A$80&amp;" (t)"</f>
        <v>Total 2030–2054 (t)</v>
      </c>
      <c r="B228" s="52">
        <f>SUM(B203:B227)</f>
        <v>8943271.874</v>
      </c>
      <c r="C228" s="52">
        <f t="shared" ref="C228:V228" si="254">IF(C$202="","",SUM(C203:C227))</f>
        <v>1497698.499</v>
      </c>
      <c r="D228" s="52">
        <f t="shared" si="254"/>
        <v>266456.2106</v>
      </c>
      <c r="E228" s="52">
        <f t="shared" si="254"/>
        <v>96568.02263</v>
      </c>
      <c r="F228" s="52">
        <f t="shared" si="254"/>
        <v>867323.907</v>
      </c>
      <c r="G228" s="52">
        <f t="shared" si="254"/>
        <v>187771.1551</v>
      </c>
      <c r="H228" s="52">
        <f t="shared" si="254"/>
        <v>63484.5334</v>
      </c>
      <c r="I228" s="52">
        <f t="shared" si="254"/>
        <v>39342.52774</v>
      </c>
      <c r="J228" s="52">
        <f t="shared" si="254"/>
        <v>3576.593431</v>
      </c>
      <c r="K228" s="52">
        <f t="shared" si="254"/>
        <v>4804259.126</v>
      </c>
      <c r="L228" s="52">
        <f t="shared" si="254"/>
        <v>201183.3805</v>
      </c>
      <c r="M228" s="52">
        <f t="shared" si="254"/>
        <v>543642.2015</v>
      </c>
      <c r="N228" s="52">
        <f t="shared" si="254"/>
        <v>59907.93997</v>
      </c>
      <c r="O228" s="52">
        <f t="shared" si="254"/>
        <v>199395.0838</v>
      </c>
      <c r="P228" s="52">
        <f t="shared" si="254"/>
        <v>109086.0996</v>
      </c>
      <c r="Q228" s="52">
        <f t="shared" si="254"/>
        <v>3576.593431</v>
      </c>
      <c r="R228" s="52" t="str">
        <f t="shared" si="254"/>
        <v/>
      </c>
      <c r="S228" s="52" t="str">
        <f t="shared" si="254"/>
        <v/>
      </c>
      <c r="T228" s="52" t="str">
        <f t="shared" si="254"/>
        <v/>
      </c>
      <c r="U228" s="52" t="str">
        <f t="shared" si="254"/>
        <v/>
      </c>
      <c r="V228" s="52" t="str">
        <f t="shared" si="254"/>
        <v/>
      </c>
      <c r="W228" s="52">
        <f>SUM(W203:W227)</f>
        <v>8943271.874</v>
      </c>
    </row>
    <row r="229" ht="15.75" customHeight="1"/>
    <row r="230" ht="15.75" customHeight="1">
      <c r="A230" s="65" t="str">
        <f>E$25</f>
        <v>Şile</v>
      </c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3"/>
      <c r="X230" s="45"/>
      <c r="Y230" s="45"/>
      <c r="Z230" s="45"/>
    </row>
    <row r="231" ht="43.5" customHeight="1">
      <c r="A231" s="44" t="s">
        <v>31</v>
      </c>
      <c r="B231" s="44" t="s">
        <v>89</v>
      </c>
      <c r="C231" s="44" t="str">
        <f>IF($A$87="","",$A$87)</f>
        <v>Paper &amp; cardboard</v>
      </c>
      <c r="D231" s="44" t="str">
        <f>IF($A$88="","",$A$88)</f>
        <v>Glass</v>
      </c>
      <c r="E231" s="44" t="str">
        <f>IF($A$89="","",$A$89)</f>
        <v>PET</v>
      </c>
      <c r="F231" s="44" t="str">
        <f>IF($A$90="","",$A$90)</f>
        <v>Plastic bags</v>
      </c>
      <c r="G231" s="44" t="str">
        <f>IF($A$91="","",$A$91)</f>
        <v>Plastic</v>
      </c>
      <c r="H231" s="44" t="str">
        <f>IF($A$92="","",$A$92)</f>
        <v>Ferrous metal</v>
      </c>
      <c r="I231" s="44" t="str">
        <f>IF($A$93="","",$A$93)</f>
        <v>Aluminum</v>
      </c>
      <c r="J231" s="44" t="str">
        <f>IF($A$94="","",$A$94)</f>
        <v>Other metals</v>
      </c>
      <c r="K231" s="44" t="str">
        <f>IF($A$95="","",$A$95)</f>
        <v>Organic matter</v>
      </c>
      <c r="L231" s="44" t="str">
        <f>IF($A$96="","",$A$96)</f>
        <v>Textile</v>
      </c>
      <c r="M231" s="44" t="str">
        <f>IF($A$97="","",$A$97)</f>
        <v>Diapers</v>
      </c>
      <c r="N231" s="44" t="str">
        <f>IF($A$98="","",$A$98)</f>
        <v>Tetra Pak</v>
      </c>
      <c r="O231" s="44" t="str">
        <f>IF($A$99="","",$A$99)</f>
        <v>Other combustible</v>
      </c>
      <c r="P231" s="44" t="str">
        <f>IF($A$100="","",$A$100)</f>
        <v>Other non-combustible</v>
      </c>
      <c r="Q231" s="44" t="str">
        <f>IF($A$101="","",$A$101)</f>
        <v>Electrical/electronic waste</v>
      </c>
      <c r="R231" s="44" t="str">
        <f>IF($A$102="","",$A$102)</f>
        <v/>
      </c>
      <c r="S231" s="44" t="str">
        <f>IF($A$103="","",$A$103)</f>
        <v/>
      </c>
      <c r="T231" s="44" t="str">
        <f>IF($A$104="","",$A$104)</f>
        <v/>
      </c>
      <c r="U231" s="44" t="str">
        <f>IF($A$105="","",$A$105)</f>
        <v/>
      </c>
      <c r="V231" s="44" t="str">
        <f>IF($A$106="","",$A$106)</f>
        <v/>
      </c>
      <c r="W231" s="44" t="s">
        <v>90</v>
      </c>
      <c r="X231" s="45"/>
      <c r="Y231" s="45"/>
      <c r="Z231" s="45"/>
    </row>
    <row r="232" ht="15.75" customHeight="1">
      <c r="A232" s="46">
        <f t="shared" ref="A232:A256" si="255">A56</f>
        <v>2030</v>
      </c>
      <c r="B232" s="47">
        <f t="shared" ref="B232:B256" si="256">Q56</f>
        <v>27945.6775</v>
      </c>
      <c r="C232" s="31">
        <f t="shared" ref="C232:C256" si="257">IF(C$231="","",$B232*$D$87/100)</f>
        <v>4679.964988</v>
      </c>
      <c r="D232" s="31">
        <f t="shared" ref="D232:D256" si="258">IF(D$231="","",$B232*$D$88/100)</f>
        <v>832.6146666</v>
      </c>
      <c r="E232" s="31">
        <f t="shared" ref="E232:E256" si="259">IF(E$231="","",$B232*$D$89/100)</f>
        <v>301.7529664</v>
      </c>
      <c r="F232" s="31">
        <f t="shared" ref="F232:F256" si="260">IF(F$231="","",$B232*$D$90/100)</f>
        <v>2710.18868</v>
      </c>
      <c r="G232" s="31">
        <f t="shared" ref="G232:G256" si="261">IF(G$231="","",$B232*$D$91/100)</f>
        <v>586.7418791</v>
      </c>
      <c r="H232" s="31">
        <f t="shared" ref="H232:H256" si="262">IF(H$231="","",$B232*$D$92/100)</f>
        <v>198.3746353</v>
      </c>
      <c r="I232" s="31">
        <f t="shared" ref="I232:I256" si="263">IF(I$231="","",$B232*$D$93/100)</f>
        <v>122.9363937</v>
      </c>
      <c r="J232" s="31">
        <f t="shared" ref="J232:J256" si="264">IF(J$231="","",$B232*$D$94/100)</f>
        <v>11.17603579</v>
      </c>
      <c r="K232" s="31">
        <f t="shared" ref="K232:K256" si="265">IF(K$231="","",$B232*$D$95/100)</f>
        <v>15012.21008</v>
      </c>
      <c r="L232" s="31">
        <f t="shared" ref="L232:L256" si="266">IF(L$231="","",$B232*$D$96/100)</f>
        <v>628.6520133</v>
      </c>
      <c r="M232" s="31">
        <f t="shared" ref="M232:M256" si="267">IF(M$231="","",$B232*$D$97/100)</f>
        <v>1698.757441</v>
      </c>
      <c r="N232" s="31">
        <f t="shared" ref="N232:N256" si="268">IF(N$231="","",$B232*$D$98/100)</f>
        <v>187.1985995</v>
      </c>
      <c r="O232" s="31">
        <f t="shared" ref="O232:O256" si="269">IF(O$231="","",$B232*$D$99/100)</f>
        <v>623.0639955</v>
      </c>
      <c r="P232" s="31">
        <f t="shared" ref="P232:P256" si="270">IF(P$231="","",$B232*$D$100/100)</f>
        <v>340.8690917</v>
      </c>
      <c r="Q232" s="31">
        <f t="shared" ref="Q232:Q256" si="271">IF(Q$231="","",$B232*$D$101/100)</f>
        <v>11.17603579</v>
      </c>
      <c r="R232" s="31" t="str">
        <f t="shared" ref="R232:R256" si="272">IF(R$231="","",$B232*$D$102/100)</f>
        <v/>
      </c>
      <c r="S232" s="31" t="str">
        <f t="shared" ref="S232:S256" si="273">IF(S$231="","",$B232*$D$103/100)</f>
        <v/>
      </c>
      <c r="T232" s="31" t="str">
        <f t="shared" ref="T232:T256" si="274">IF(T$231="","",$B232*$D$104/100)</f>
        <v/>
      </c>
      <c r="U232" s="31" t="str">
        <f t="shared" ref="U232:U256" si="275">IF(U$231="","",$B232*$D$105/100)</f>
        <v/>
      </c>
      <c r="V232" s="31" t="str">
        <f t="shared" ref="V232:V256" si="276">IF(V$231="","",$B232*$D$106/100)</f>
        <v/>
      </c>
      <c r="W232" s="47">
        <f t="shared" ref="W232:W256" si="277">SUM(C232:V232)</f>
        <v>27945.6775</v>
      </c>
    </row>
    <row r="233" ht="15.75" customHeight="1">
      <c r="A233" s="46">
        <f t="shared" si="255"/>
        <v>2031</v>
      </c>
      <c r="B233" s="47">
        <f t="shared" si="256"/>
        <v>28781.272</v>
      </c>
      <c r="C233" s="31">
        <f t="shared" si="257"/>
        <v>4819.89908</v>
      </c>
      <c r="D233" s="31">
        <f t="shared" si="258"/>
        <v>857.5104035</v>
      </c>
      <c r="E233" s="31">
        <f t="shared" si="259"/>
        <v>310.7755825</v>
      </c>
      <c r="F233" s="31">
        <f t="shared" si="260"/>
        <v>2791.225139</v>
      </c>
      <c r="G233" s="31">
        <f t="shared" si="261"/>
        <v>604.2858548</v>
      </c>
      <c r="H233" s="31">
        <f t="shared" si="262"/>
        <v>204.30617</v>
      </c>
      <c r="I233" s="31">
        <f t="shared" si="263"/>
        <v>126.6122743</v>
      </c>
      <c r="J233" s="31">
        <f t="shared" si="264"/>
        <v>11.51020676</v>
      </c>
      <c r="K233" s="31">
        <f t="shared" si="265"/>
        <v>15461.08523</v>
      </c>
      <c r="L233" s="31">
        <f t="shared" si="266"/>
        <v>647.4491302</v>
      </c>
      <c r="M233" s="31">
        <f t="shared" si="267"/>
        <v>1749.551427</v>
      </c>
      <c r="N233" s="31">
        <f t="shared" si="268"/>
        <v>192.7959632</v>
      </c>
      <c r="O233" s="31">
        <f t="shared" si="269"/>
        <v>641.6940268</v>
      </c>
      <c r="P233" s="31">
        <f t="shared" si="270"/>
        <v>351.0613061</v>
      </c>
      <c r="Q233" s="31">
        <f t="shared" si="271"/>
        <v>11.51020676</v>
      </c>
      <c r="R233" s="31" t="str">
        <f t="shared" si="272"/>
        <v/>
      </c>
      <c r="S233" s="31" t="str">
        <f t="shared" si="273"/>
        <v/>
      </c>
      <c r="T233" s="31" t="str">
        <f t="shared" si="274"/>
        <v/>
      </c>
      <c r="U233" s="31" t="str">
        <f t="shared" si="275"/>
        <v/>
      </c>
      <c r="V233" s="31" t="str">
        <f t="shared" si="276"/>
        <v/>
      </c>
      <c r="W233" s="47">
        <f t="shared" si="277"/>
        <v>28781.272</v>
      </c>
    </row>
    <row r="234" ht="15.75" customHeight="1">
      <c r="A234" s="46">
        <f t="shared" si="255"/>
        <v>2032</v>
      </c>
      <c r="B234" s="47">
        <f t="shared" si="256"/>
        <v>29616.8665</v>
      </c>
      <c r="C234" s="31">
        <f t="shared" si="257"/>
        <v>4959.833172</v>
      </c>
      <c r="D234" s="31">
        <f t="shared" si="258"/>
        <v>882.4061405</v>
      </c>
      <c r="E234" s="31">
        <f t="shared" si="259"/>
        <v>319.7981986</v>
      </c>
      <c r="F234" s="31">
        <f t="shared" si="260"/>
        <v>2872.261598</v>
      </c>
      <c r="G234" s="31">
        <f t="shared" si="261"/>
        <v>621.8298305</v>
      </c>
      <c r="H234" s="31">
        <f t="shared" si="262"/>
        <v>210.2377046</v>
      </c>
      <c r="I234" s="31">
        <f t="shared" si="263"/>
        <v>130.288155</v>
      </c>
      <c r="J234" s="31">
        <f t="shared" si="264"/>
        <v>11.84437772</v>
      </c>
      <c r="K234" s="31">
        <f t="shared" si="265"/>
        <v>15909.96038</v>
      </c>
      <c r="L234" s="31">
        <f t="shared" si="266"/>
        <v>666.246247</v>
      </c>
      <c r="M234" s="31">
        <f t="shared" si="267"/>
        <v>1800.345414</v>
      </c>
      <c r="N234" s="31">
        <f t="shared" si="268"/>
        <v>198.3933269</v>
      </c>
      <c r="O234" s="31">
        <f t="shared" si="269"/>
        <v>660.3240581</v>
      </c>
      <c r="P234" s="31">
        <f t="shared" si="270"/>
        <v>361.2535206</v>
      </c>
      <c r="Q234" s="31">
        <f t="shared" si="271"/>
        <v>11.84437772</v>
      </c>
      <c r="R234" s="31" t="str">
        <f t="shared" si="272"/>
        <v/>
      </c>
      <c r="S234" s="31" t="str">
        <f t="shared" si="273"/>
        <v/>
      </c>
      <c r="T234" s="31" t="str">
        <f t="shared" si="274"/>
        <v/>
      </c>
      <c r="U234" s="31" t="str">
        <f t="shared" si="275"/>
        <v/>
      </c>
      <c r="V234" s="31" t="str">
        <f t="shared" si="276"/>
        <v/>
      </c>
      <c r="W234" s="47">
        <f t="shared" si="277"/>
        <v>29616.8665</v>
      </c>
    </row>
    <row r="235" ht="15.75" customHeight="1">
      <c r="A235" s="46">
        <f t="shared" si="255"/>
        <v>2033</v>
      </c>
      <c r="B235" s="47">
        <f t="shared" si="256"/>
        <v>30452.461</v>
      </c>
      <c r="C235" s="31">
        <f t="shared" si="257"/>
        <v>5099.767264</v>
      </c>
      <c r="D235" s="31">
        <f t="shared" si="258"/>
        <v>907.3018774</v>
      </c>
      <c r="E235" s="31">
        <f t="shared" si="259"/>
        <v>328.8208146</v>
      </c>
      <c r="F235" s="31">
        <f t="shared" si="260"/>
        <v>2953.298057</v>
      </c>
      <c r="G235" s="31">
        <f t="shared" si="261"/>
        <v>639.3738062</v>
      </c>
      <c r="H235" s="31">
        <f t="shared" si="262"/>
        <v>216.1692393</v>
      </c>
      <c r="I235" s="31">
        <f t="shared" si="263"/>
        <v>133.9640356</v>
      </c>
      <c r="J235" s="31">
        <f t="shared" si="264"/>
        <v>12.17854869</v>
      </c>
      <c r="K235" s="31">
        <f t="shared" si="265"/>
        <v>16358.83553</v>
      </c>
      <c r="L235" s="31">
        <f t="shared" si="266"/>
        <v>685.0433638</v>
      </c>
      <c r="M235" s="31">
        <f t="shared" si="267"/>
        <v>1851.139401</v>
      </c>
      <c r="N235" s="31">
        <f t="shared" si="268"/>
        <v>203.9906906</v>
      </c>
      <c r="O235" s="31">
        <f t="shared" si="269"/>
        <v>678.9540895</v>
      </c>
      <c r="P235" s="31">
        <f t="shared" si="270"/>
        <v>371.4457351</v>
      </c>
      <c r="Q235" s="31">
        <f t="shared" si="271"/>
        <v>12.17854869</v>
      </c>
      <c r="R235" s="31" t="str">
        <f t="shared" si="272"/>
        <v/>
      </c>
      <c r="S235" s="31" t="str">
        <f t="shared" si="273"/>
        <v/>
      </c>
      <c r="T235" s="31" t="str">
        <f t="shared" si="274"/>
        <v/>
      </c>
      <c r="U235" s="31" t="str">
        <f t="shared" si="275"/>
        <v/>
      </c>
      <c r="V235" s="31" t="str">
        <f t="shared" si="276"/>
        <v/>
      </c>
      <c r="W235" s="47">
        <f t="shared" si="277"/>
        <v>30452.461</v>
      </c>
    </row>
    <row r="236" ht="15.75" customHeight="1">
      <c r="A236" s="46">
        <f t="shared" si="255"/>
        <v>2034</v>
      </c>
      <c r="B236" s="47">
        <f t="shared" si="256"/>
        <v>31288.0555</v>
      </c>
      <c r="C236" s="31">
        <f t="shared" si="257"/>
        <v>5239.701356</v>
      </c>
      <c r="D236" s="31">
        <f t="shared" si="258"/>
        <v>932.1976144</v>
      </c>
      <c r="E236" s="31">
        <f t="shared" si="259"/>
        <v>337.8434307</v>
      </c>
      <c r="F236" s="31">
        <f t="shared" si="260"/>
        <v>3034.334517</v>
      </c>
      <c r="G236" s="31">
        <f t="shared" si="261"/>
        <v>656.9177819</v>
      </c>
      <c r="H236" s="31">
        <f t="shared" si="262"/>
        <v>222.1007739</v>
      </c>
      <c r="I236" s="31">
        <f t="shared" si="263"/>
        <v>137.6399162</v>
      </c>
      <c r="J236" s="31">
        <f t="shared" si="264"/>
        <v>12.51271966</v>
      </c>
      <c r="K236" s="31">
        <f t="shared" si="265"/>
        <v>16807.71068</v>
      </c>
      <c r="L236" s="31">
        <f t="shared" si="266"/>
        <v>703.8404807</v>
      </c>
      <c r="M236" s="31">
        <f t="shared" si="267"/>
        <v>1901.933388</v>
      </c>
      <c r="N236" s="31">
        <f t="shared" si="268"/>
        <v>209.5880542</v>
      </c>
      <c r="O236" s="31">
        <f t="shared" si="269"/>
        <v>697.5841208</v>
      </c>
      <c r="P236" s="31">
        <f t="shared" si="270"/>
        <v>381.6379495</v>
      </c>
      <c r="Q236" s="31">
        <f t="shared" si="271"/>
        <v>12.51271966</v>
      </c>
      <c r="R236" s="31" t="str">
        <f t="shared" si="272"/>
        <v/>
      </c>
      <c r="S236" s="31" t="str">
        <f t="shared" si="273"/>
        <v/>
      </c>
      <c r="T236" s="31" t="str">
        <f t="shared" si="274"/>
        <v/>
      </c>
      <c r="U236" s="31" t="str">
        <f t="shared" si="275"/>
        <v/>
      </c>
      <c r="V236" s="31" t="str">
        <f t="shared" si="276"/>
        <v/>
      </c>
      <c r="W236" s="47">
        <f t="shared" si="277"/>
        <v>31288.0555</v>
      </c>
    </row>
    <row r="237" ht="15.75" customHeight="1">
      <c r="A237" s="46">
        <f t="shared" si="255"/>
        <v>2035</v>
      </c>
      <c r="B237" s="47">
        <f t="shared" si="256"/>
        <v>32123.65</v>
      </c>
      <c r="C237" s="31">
        <f t="shared" si="257"/>
        <v>5379.635448</v>
      </c>
      <c r="D237" s="31">
        <f t="shared" si="258"/>
        <v>957.0933513</v>
      </c>
      <c r="E237" s="31">
        <f t="shared" si="259"/>
        <v>346.8660468</v>
      </c>
      <c r="F237" s="31">
        <f t="shared" si="260"/>
        <v>3115.370976</v>
      </c>
      <c r="G237" s="31">
        <f t="shared" si="261"/>
        <v>674.4617576</v>
      </c>
      <c r="H237" s="31">
        <f t="shared" si="262"/>
        <v>228.0323085</v>
      </c>
      <c r="I237" s="31">
        <f t="shared" si="263"/>
        <v>141.3157968</v>
      </c>
      <c r="J237" s="31">
        <f t="shared" si="264"/>
        <v>12.84689062</v>
      </c>
      <c r="K237" s="31">
        <f t="shared" si="265"/>
        <v>17256.58583</v>
      </c>
      <c r="L237" s="31">
        <f t="shared" si="266"/>
        <v>722.6375975</v>
      </c>
      <c r="M237" s="31">
        <f t="shared" si="267"/>
        <v>1952.727375</v>
      </c>
      <c r="N237" s="31">
        <f t="shared" si="268"/>
        <v>215.1854179</v>
      </c>
      <c r="O237" s="31">
        <f t="shared" si="269"/>
        <v>716.2141522</v>
      </c>
      <c r="P237" s="31">
        <f t="shared" si="270"/>
        <v>391.830164</v>
      </c>
      <c r="Q237" s="31">
        <f t="shared" si="271"/>
        <v>12.84689062</v>
      </c>
      <c r="R237" s="31" t="str">
        <f t="shared" si="272"/>
        <v/>
      </c>
      <c r="S237" s="31" t="str">
        <f t="shared" si="273"/>
        <v/>
      </c>
      <c r="T237" s="31" t="str">
        <f t="shared" si="274"/>
        <v/>
      </c>
      <c r="U237" s="31" t="str">
        <f t="shared" si="275"/>
        <v/>
      </c>
      <c r="V237" s="31" t="str">
        <f t="shared" si="276"/>
        <v/>
      </c>
      <c r="W237" s="47">
        <f t="shared" si="277"/>
        <v>32123.65</v>
      </c>
    </row>
    <row r="238" ht="15.75" customHeight="1">
      <c r="A238" s="46">
        <f t="shared" si="255"/>
        <v>2036</v>
      </c>
      <c r="B238" s="47">
        <f t="shared" si="256"/>
        <v>32959.2445</v>
      </c>
      <c r="C238" s="31">
        <f t="shared" si="257"/>
        <v>5519.56954</v>
      </c>
      <c r="D238" s="31">
        <f t="shared" si="258"/>
        <v>981.9890883</v>
      </c>
      <c r="E238" s="31">
        <f t="shared" si="259"/>
        <v>355.8886629</v>
      </c>
      <c r="F238" s="31">
        <f t="shared" si="260"/>
        <v>3196.407435</v>
      </c>
      <c r="G238" s="31">
        <f t="shared" si="261"/>
        <v>692.0057334</v>
      </c>
      <c r="H238" s="31">
        <f t="shared" si="262"/>
        <v>233.9638432</v>
      </c>
      <c r="I238" s="31">
        <f t="shared" si="263"/>
        <v>144.9916775</v>
      </c>
      <c r="J238" s="31">
        <f t="shared" si="264"/>
        <v>13.18106159</v>
      </c>
      <c r="K238" s="31">
        <f t="shared" si="265"/>
        <v>17705.46098</v>
      </c>
      <c r="L238" s="31">
        <f t="shared" si="266"/>
        <v>741.4347143</v>
      </c>
      <c r="M238" s="31">
        <f t="shared" si="267"/>
        <v>2003.521361</v>
      </c>
      <c r="N238" s="31">
        <f t="shared" si="268"/>
        <v>220.7827816</v>
      </c>
      <c r="O238" s="31">
        <f t="shared" si="269"/>
        <v>734.8441835</v>
      </c>
      <c r="P238" s="31">
        <f t="shared" si="270"/>
        <v>402.0223784</v>
      </c>
      <c r="Q238" s="31">
        <f t="shared" si="271"/>
        <v>13.18106159</v>
      </c>
      <c r="R238" s="31" t="str">
        <f t="shared" si="272"/>
        <v/>
      </c>
      <c r="S238" s="31" t="str">
        <f t="shared" si="273"/>
        <v/>
      </c>
      <c r="T238" s="31" t="str">
        <f t="shared" si="274"/>
        <v/>
      </c>
      <c r="U238" s="31" t="str">
        <f t="shared" si="275"/>
        <v/>
      </c>
      <c r="V238" s="31" t="str">
        <f t="shared" si="276"/>
        <v/>
      </c>
      <c r="W238" s="47">
        <f t="shared" si="277"/>
        <v>32959.2445</v>
      </c>
    </row>
    <row r="239" ht="15.75" customHeight="1">
      <c r="A239" s="46">
        <f t="shared" si="255"/>
        <v>2037</v>
      </c>
      <c r="B239" s="47">
        <f t="shared" si="256"/>
        <v>33794.839</v>
      </c>
      <c r="C239" s="31">
        <f t="shared" si="257"/>
        <v>5659.503632</v>
      </c>
      <c r="D239" s="31">
        <f t="shared" si="258"/>
        <v>1006.884825</v>
      </c>
      <c r="E239" s="31">
        <f t="shared" si="259"/>
        <v>364.9112789</v>
      </c>
      <c r="F239" s="31">
        <f t="shared" si="260"/>
        <v>3277.443894</v>
      </c>
      <c r="G239" s="31">
        <f t="shared" si="261"/>
        <v>709.5497091</v>
      </c>
      <c r="H239" s="31">
        <f t="shared" si="262"/>
        <v>239.8953778</v>
      </c>
      <c r="I239" s="31">
        <f t="shared" si="263"/>
        <v>148.6675581</v>
      </c>
      <c r="J239" s="31">
        <f t="shared" si="264"/>
        <v>13.51523255</v>
      </c>
      <c r="K239" s="31">
        <f t="shared" si="265"/>
        <v>18154.33613</v>
      </c>
      <c r="L239" s="31">
        <f t="shared" si="266"/>
        <v>760.2318311</v>
      </c>
      <c r="M239" s="31">
        <f t="shared" si="267"/>
        <v>2054.315348</v>
      </c>
      <c r="N239" s="31">
        <f t="shared" si="268"/>
        <v>226.3801453</v>
      </c>
      <c r="O239" s="31">
        <f t="shared" si="269"/>
        <v>753.4742149</v>
      </c>
      <c r="P239" s="31">
        <f t="shared" si="270"/>
        <v>412.2145929</v>
      </c>
      <c r="Q239" s="31">
        <f t="shared" si="271"/>
        <v>13.51523255</v>
      </c>
      <c r="R239" s="31" t="str">
        <f t="shared" si="272"/>
        <v/>
      </c>
      <c r="S239" s="31" t="str">
        <f t="shared" si="273"/>
        <v/>
      </c>
      <c r="T239" s="31" t="str">
        <f t="shared" si="274"/>
        <v/>
      </c>
      <c r="U239" s="31" t="str">
        <f t="shared" si="275"/>
        <v/>
      </c>
      <c r="V239" s="31" t="str">
        <f t="shared" si="276"/>
        <v/>
      </c>
      <c r="W239" s="47">
        <f t="shared" si="277"/>
        <v>33794.839</v>
      </c>
    </row>
    <row r="240" ht="15.75" customHeight="1">
      <c r="A240" s="46">
        <f t="shared" si="255"/>
        <v>2038</v>
      </c>
      <c r="B240" s="47">
        <f t="shared" si="256"/>
        <v>34630.4335</v>
      </c>
      <c r="C240" s="31">
        <f t="shared" si="257"/>
        <v>5799.437724</v>
      </c>
      <c r="D240" s="31">
        <f t="shared" si="258"/>
        <v>1031.780562</v>
      </c>
      <c r="E240" s="31">
        <f t="shared" si="259"/>
        <v>373.933895</v>
      </c>
      <c r="F240" s="31">
        <f t="shared" si="260"/>
        <v>3358.480353</v>
      </c>
      <c r="G240" s="31">
        <f t="shared" si="261"/>
        <v>727.0936848</v>
      </c>
      <c r="H240" s="31">
        <f t="shared" si="262"/>
        <v>245.8269125</v>
      </c>
      <c r="I240" s="31">
        <f t="shared" si="263"/>
        <v>152.3434387</v>
      </c>
      <c r="J240" s="31">
        <f t="shared" si="264"/>
        <v>13.84940352</v>
      </c>
      <c r="K240" s="31">
        <f t="shared" si="265"/>
        <v>18603.21128</v>
      </c>
      <c r="L240" s="31">
        <f t="shared" si="266"/>
        <v>779.028948</v>
      </c>
      <c r="M240" s="31">
        <f t="shared" si="267"/>
        <v>2105.109335</v>
      </c>
      <c r="N240" s="31">
        <f t="shared" si="268"/>
        <v>231.9775089</v>
      </c>
      <c r="O240" s="31">
        <f t="shared" si="269"/>
        <v>772.1042462</v>
      </c>
      <c r="P240" s="31">
        <f t="shared" si="270"/>
        <v>422.4068073</v>
      </c>
      <c r="Q240" s="31">
        <f t="shared" si="271"/>
        <v>13.84940352</v>
      </c>
      <c r="R240" s="31" t="str">
        <f t="shared" si="272"/>
        <v/>
      </c>
      <c r="S240" s="31" t="str">
        <f t="shared" si="273"/>
        <v/>
      </c>
      <c r="T240" s="31" t="str">
        <f t="shared" si="274"/>
        <v/>
      </c>
      <c r="U240" s="31" t="str">
        <f t="shared" si="275"/>
        <v/>
      </c>
      <c r="V240" s="31" t="str">
        <f t="shared" si="276"/>
        <v/>
      </c>
      <c r="W240" s="47">
        <f t="shared" si="277"/>
        <v>34630.4335</v>
      </c>
    </row>
    <row r="241" ht="15.75" customHeight="1">
      <c r="A241" s="46">
        <f t="shared" si="255"/>
        <v>2039</v>
      </c>
      <c r="B241" s="47">
        <f t="shared" si="256"/>
        <v>35466.028</v>
      </c>
      <c r="C241" s="31">
        <f t="shared" si="257"/>
        <v>5939.371816</v>
      </c>
      <c r="D241" s="31">
        <f t="shared" si="258"/>
        <v>1056.676299</v>
      </c>
      <c r="E241" s="31">
        <f t="shared" si="259"/>
        <v>382.9565111</v>
      </c>
      <c r="F241" s="31">
        <f t="shared" si="260"/>
        <v>3439.516813</v>
      </c>
      <c r="G241" s="31">
        <f t="shared" si="261"/>
        <v>744.6376605</v>
      </c>
      <c r="H241" s="31">
        <f t="shared" si="262"/>
        <v>251.7584471</v>
      </c>
      <c r="I241" s="31">
        <f t="shared" si="263"/>
        <v>156.0193193</v>
      </c>
      <c r="J241" s="31">
        <f t="shared" si="264"/>
        <v>14.18357449</v>
      </c>
      <c r="K241" s="31">
        <f t="shared" si="265"/>
        <v>19052.08643</v>
      </c>
      <c r="L241" s="31">
        <f t="shared" si="266"/>
        <v>797.8260648</v>
      </c>
      <c r="M241" s="31">
        <f t="shared" si="267"/>
        <v>2155.903322</v>
      </c>
      <c r="N241" s="31">
        <f t="shared" si="268"/>
        <v>237.5748726</v>
      </c>
      <c r="O241" s="31">
        <f t="shared" si="269"/>
        <v>790.7342775</v>
      </c>
      <c r="P241" s="31">
        <f t="shared" si="270"/>
        <v>432.5990218</v>
      </c>
      <c r="Q241" s="31">
        <f t="shared" si="271"/>
        <v>14.18357449</v>
      </c>
      <c r="R241" s="31" t="str">
        <f t="shared" si="272"/>
        <v/>
      </c>
      <c r="S241" s="31" t="str">
        <f t="shared" si="273"/>
        <v/>
      </c>
      <c r="T241" s="31" t="str">
        <f t="shared" si="274"/>
        <v/>
      </c>
      <c r="U241" s="31" t="str">
        <f t="shared" si="275"/>
        <v/>
      </c>
      <c r="V241" s="31" t="str">
        <f t="shared" si="276"/>
        <v/>
      </c>
      <c r="W241" s="47">
        <f t="shared" si="277"/>
        <v>35466.028</v>
      </c>
    </row>
    <row r="242" ht="15.75" customHeight="1">
      <c r="A242" s="46">
        <f t="shared" si="255"/>
        <v>2040</v>
      </c>
      <c r="B242" s="47">
        <f t="shared" si="256"/>
        <v>36301.6225</v>
      </c>
      <c r="C242" s="31">
        <f t="shared" si="257"/>
        <v>6079.305908</v>
      </c>
      <c r="D242" s="31">
        <f t="shared" si="258"/>
        <v>1081.572036</v>
      </c>
      <c r="E242" s="31">
        <f t="shared" si="259"/>
        <v>391.9791272</v>
      </c>
      <c r="F242" s="31">
        <f t="shared" si="260"/>
        <v>3520.553272</v>
      </c>
      <c r="G242" s="31">
        <f t="shared" si="261"/>
        <v>762.1816362</v>
      </c>
      <c r="H242" s="31">
        <f t="shared" si="262"/>
        <v>257.6899818</v>
      </c>
      <c r="I242" s="31">
        <f t="shared" si="263"/>
        <v>159.6952</v>
      </c>
      <c r="J242" s="31">
        <f t="shared" si="264"/>
        <v>14.51774545</v>
      </c>
      <c r="K242" s="31">
        <f t="shared" si="265"/>
        <v>19500.96158</v>
      </c>
      <c r="L242" s="31">
        <f t="shared" si="266"/>
        <v>816.6231816</v>
      </c>
      <c r="M242" s="31">
        <f t="shared" si="267"/>
        <v>2206.697309</v>
      </c>
      <c r="N242" s="31">
        <f t="shared" si="268"/>
        <v>243.1722363</v>
      </c>
      <c r="O242" s="31">
        <f t="shared" si="269"/>
        <v>809.3643089</v>
      </c>
      <c r="P242" s="31">
        <f t="shared" si="270"/>
        <v>442.7912363</v>
      </c>
      <c r="Q242" s="31">
        <f t="shared" si="271"/>
        <v>14.51774545</v>
      </c>
      <c r="R242" s="31" t="str">
        <f t="shared" si="272"/>
        <v/>
      </c>
      <c r="S242" s="31" t="str">
        <f t="shared" si="273"/>
        <v/>
      </c>
      <c r="T242" s="31" t="str">
        <f t="shared" si="274"/>
        <v/>
      </c>
      <c r="U242" s="31" t="str">
        <f t="shared" si="275"/>
        <v/>
      </c>
      <c r="V242" s="31" t="str">
        <f t="shared" si="276"/>
        <v/>
      </c>
      <c r="W242" s="47">
        <f t="shared" si="277"/>
        <v>36301.6225</v>
      </c>
    </row>
    <row r="243" ht="15.75" customHeight="1">
      <c r="A243" s="46">
        <f t="shared" si="255"/>
        <v>2041</v>
      </c>
      <c r="B243" s="47">
        <f t="shared" si="256"/>
        <v>37137.217</v>
      </c>
      <c r="C243" s="31">
        <f t="shared" si="257"/>
        <v>6219.24</v>
      </c>
      <c r="D243" s="31">
        <f t="shared" si="258"/>
        <v>1106.467773</v>
      </c>
      <c r="E243" s="31">
        <f t="shared" si="259"/>
        <v>401.0017433</v>
      </c>
      <c r="F243" s="31">
        <f t="shared" si="260"/>
        <v>3601.589731</v>
      </c>
      <c r="G243" s="31">
        <f t="shared" si="261"/>
        <v>779.7256119</v>
      </c>
      <c r="H243" s="31">
        <f t="shared" si="262"/>
        <v>263.6215164</v>
      </c>
      <c r="I243" s="31">
        <f t="shared" si="263"/>
        <v>163.3710806</v>
      </c>
      <c r="J243" s="31">
        <f t="shared" si="264"/>
        <v>14.85191642</v>
      </c>
      <c r="K243" s="31">
        <f t="shared" si="265"/>
        <v>19949.83673</v>
      </c>
      <c r="L243" s="31">
        <f t="shared" si="266"/>
        <v>835.4202984</v>
      </c>
      <c r="M243" s="31">
        <f t="shared" si="267"/>
        <v>2257.491295</v>
      </c>
      <c r="N243" s="31">
        <f t="shared" si="268"/>
        <v>248.7696</v>
      </c>
      <c r="O243" s="31">
        <f t="shared" si="269"/>
        <v>827.9943402</v>
      </c>
      <c r="P243" s="31">
        <f t="shared" si="270"/>
        <v>452.9834507</v>
      </c>
      <c r="Q243" s="31">
        <f t="shared" si="271"/>
        <v>14.85191642</v>
      </c>
      <c r="R243" s="31" t="str">
        <f t="shared" si="272"/>
        <v/>
      </c>
      <c r="S243" s="31" t="str">
        <f t="shared" si="273"/>
        <v/>
      </c>
      <c r="T243" s="31" t="str">
        <f t="shared" si="274"/>
        <v/>
      </c>
      <c r="U243" s="31" t="str">
        <f t="shared" si="275"/>
        <v/>
      </c>
      <c r="V243" s="31" t="str">
        <f t="shared" si="276"/>
        <v/>
      </c>
      <c r="W243" s="47">
        <f t="shared" si="277"/>
        <v>37137.217</v>
      </c>
    </row>
    <row r="244" ht="15.75" customHeight="1">
      <c r="A244" s="46">
        <f t="shared" si="255"/>
        <v>2042</v>
      </c>
      <c r="B244" s="47">
        <f t="shared" si="256"/>
        <v>37972.8115</v>
      </c>
      <c r="C244" s="31">
        <f t="shared" si="257"/>
        <v>6359.174091</v>
      </c>
      <c r="D244" s="31">
        <f t="shared" si="258"/>
        <v>1131.36351</v>
      </c>
      <c r="E244" s="31">
        <f t="shared" si="259"/>
        <v>410.0243593</v>
      </c>
      <c r="F244" s="31">
        <f t="shared" si="260"/>
        <v>3682.62619</v>
      </c>
      <c r="G244" s="31">
        <f t="shared" si="261"/>
        <v>797.2695876</v>
      </c>
      <c r="H244" s="31">
        <f t="shared" si="262"/>
        <v>269.553051</v>
      </c>
      <c r="I244" s="31">
        <f t="shared" si="263"/>
        <v>167.0469612</v>
      </c>
      <c r="J244" s="31">
        <f t="shared" si="264"/>
        <v>15.18608738</v>
      </c>
      <c r="K244" s="31">
        <f t="shared" si="265"/>
        <v>20398.71188</v>
      </c>
      <c r="L244" s="31">
        <f t="shared" si="266"/>
        <v>854.2174153</v>
      </c>
      <c r="M244" s="31">
        <f t="shared" si="267"/>
        <v>2308.285282</v>
      </c>
      <c r="N244" s="31">
        <f t="shared" si="268"/>
        <v>254.3669637</v>
      </c>
      <c r="O244" s="31">
        <f t="shared" si="269"/>
        <v>846.6243716</v>
      </c>
      <c r="P244" s="31">
        <f t="shared" si="270"/>
        <v>463.1756652</v>
      </c>
      <c r="Q244" s="31">
        <f t="shared" si="271"/>
        <v>15.18608738</v>
      </c>
      <c r="R244" s="31" t="str">
        <f t="shared" si="272"/>
        <v/>
      </c>
      <c r="S244" s="31" t="str">
        <f t="shared" si="273"/>
        <v/>
      </c>
      <c r="T244" s="31" t="str">
        <f t="shared" si="274"/>
        <v/>
      </c>
      <c r="U244" s="31" t="str">
        <f t="shared" si="275"/>
        <v/>
      </c>
      <c r="V244" s="31" t="str">
        <f t="shared" si="276"/>
        <v/>
      </c>
      <c r="W244" s="47">
        <f t="shared" si="277"/>
        <v>37972.8115</v>
      </c>
    </row>
    <row r="245" ht="15.75" customHeight="1">
      <c r="A245" s="46">
        <f t="shared" si="255"/>
        <v>2043</v>
      </c>
      <c r="B245" s="47">
        <f t="shared" si="256"/>
        <v>38808.406</v>
      </c>
      <c r="C245" s="31">
        <f t="shared" si="257"/>
        <v>6499.108183</v>
      </c>
      <c r="D245" s="31">
        <f t="shared" si="258"/>
        <v>1156.259247</v>
      </c>
      <c r="E245" s="31">
        <f t="shared" si="259"/>
        <v>419.0469754</v>
      </c>
      <c r="F245" s="31">
        <f t="shared" si="260"/>
        <v>3763.662649</v>
      </c>
      <c r="G245" s="31">
        <f t="shared" si="261"/>
        <v>814.8135633</v>
      </c>
      <c r="H245" s="31">
        <f t="shared" si="262"/>
        <v>275.4845857</v>
      </c>
      <c r="I245" s="31">
        <f t="shared" si="263"/>
        <v>170.7228418</v>
      </c>
      <c r="J245" s="31">
        <f t="shared" si="264"/>
        <v>15.52025835</v>
      </c>
      <c r="K245" s="31">
        <f t="shared" si="265"/>
        <v>20847.58703</v>
      </c>
      <c r="L245" s="31">
        <f t="shared" si="266"/>
        <v>873.0145321</v>
      </c>
      <c r="M245" s="31">
        <f t="shared" si="267"/>
        <v>2359.079269</v>
      </c>
      <c r="N245" s="31">
        <f t="shared" si="268"/>
        <v>259.9643273</v>
      </c>
      <c r="O245" s="31">
        <f t="shared" si="269"/>
        <v>865.2544029</v>
      </c>
      <c r="P245" s="31">
        <f t="shared" si="270"/>
        <v>473.3678796</v>
      </c>
      <c r="Q245" s="31">
        <f t="shared" si="271"/>
        <v>15.52025835</v>
      </c>
      <c r="R245" s="31" t="str">
        <f t="shared" si="272"/>
        <v/>
      </c>
      <c r="S245" s="31" t="str">
        <f t="shared" si="273"/>
        <v/>
      </c>
      <c r="T245" s="31" t="str">
        <f t="shared" si="274"/>
        <v/>
      </c>
      <c r="U245" s="31" t="str">
        <f t="shared" si="275"/>
        <v/>
      </c>
      <c r="V245" s="31" t="str">
        <f t="shared" si="276"/>
        <v/>
      </c>
      <c r="W245" s="47">
        <f t="shared" si="277"/>
        <v>38808.406</v>
      </c>
    </row>
    <row r="246" ht="15.75" customHeight="1">
      <c r="A246" s="46">
        <f t="shared" si="255"/>
        <v>2044</v>
      </c>
      <c r="B246" s="47">
        <f t="shared" si="256"/>
        <v>39644.0005</v>
      </c>
      <c r="C246" s="31">
        <f t="shared" si="257"/>
        <v>6639.042275</v>
      </c>
      <c r="D246" s="31">
        <f t="shared" si="258"/>
        <v>1181.154984</v>
      </c>
      <c r="E246" s="31">
        <f t="shared" si="259"/>
        <v>428.0695915</v>
      </c>
      <c r="F246" s="31">
        <f t="shared" si="260"/>
        <v>3844.699109</v>
      </c>
      <c r="G246" s="31">
        <f t="shared" si="261"/>
        <v>832.357539</v>
      </c>
      <c r="H246" s="31">
        <f t="shared" si="262"/>
        <v>281.4161203</v>
      </c>
      <c r="I246" s="31">
        <f t="shared" si="263"/>
        <v>174.3987225</v>
      </c>
      <c r="J246" s="31">
        <f t="shared" si="264"/>
        <v>15.85442931</v>
      </c>
      <c r="K246" s="31">
        <f t="shared" si="265"/>
        <v>21296.46218</v>
      </c>
      <c r="L246" s="31">
        <f t="shared" si="266"/>
        <v>891.8116489</v>
      </c>
      <c r="M246" s="31">
        <f t="shared" si="267"/>
        <v>2409.873256</v>
      </c>
      <c r="N246" s="31">
        <f t="shared" si="268"/>
        <v>265.561691</v>
      </c>
      <c r="O246" s="31">
        <f t="shared" si="269"/>
        <v>883.8844343</v>
      </c>
      <c r="P246" s="31">
        <f t="shared" si="270"/>
        <v>483.5600941</v>
      </c>
      <c r="Q246" s="31">
        <f t="shared" si="271"/>
        <v>15.85442931</v>
      </c>
      <c r="R246" s="31" t="str">
        <f t="shared" si="272"/>
        <v/>
      </c>
      <c r="S246" s="31" t="str">
        <f t="shared" si="273"/>
        <v/>
      </c>
      <c r="T246" s="31" t="str">
        <f t="shared" si="274"/>
        <v/>
      </c>
      <c r="U246" s="31" t="str">
        <f t="shared" si="275"/>
        <v/>
      </c>
      <c r="V246" s="31" t="str">
        <f t="shared" si="276"/>
        <v/>
      </c>
      <c r="W246" s="47">
        <f t="shared" si="277"/>
        <v>39644.0005</v>
      </c>
    </row>
    <row r="247" ht="15.75" customHeight="1">
      <c r="A247" s="46">
        <f t="shared" si="255"/>
        <v>2045</v>
      </c>
      <c r="B247" s="47">
        <f t="shared" si="256"/>
        <v>40479.595</v>
      </c>
      <c r="C247" s="31">
        <f t="shared" si="257"/>
        <v>6778.976367</v>
      </c>
      <c r="D247" s="31">
        <f t="shared" si="258"/>
        <v>1206.050721</v>
      </c>
      <c r="E247" s="31">
        <f t="shared" si="259"/>
        <v>437.0922076</v>
      </c>
      <c r="F247" s="31">
        <f t="shared" si="260"/>
        <v>3925.735568</v>
      </c>
      <c r="G247" s="31">
        <f t="shared" si="261"/>
        <v>849.9015147</v>
      </c>
      <c r="H247" s="31">
        <f t="shared" si="262"/>
        <v>287.347655</v>
      </c>
      <c r="I247" s="31">
        <f t="shared" si="263"/>
        <v>178.0746031</v>
      </c>
      <c r="J247" s="31">
        <f t="shared" si="264"/>
        <v>16.18860028</v>
      </c>
      <c r="K247" s="31">
        <f t="shared" si="265"/>
        <v>21745.33733</v>
      </c>
      <c r="L247" s="31">
        <f t="shared" si="266"/>
        <v>910.6087657</v>
      </c>
      <c r="M247" s="31">
        <f t="shared" si="267"/>
        <v>2460.667243</v>
      </c>
      <c r="N247" s="31">
        <f t="shared" si="268"/>
        <v>271.1590547</v>
      </c>
      <c r="O247" s="31">
        <f t="shared" si="269"/>
        <v>902.5144656</v>
      </c>
      <c r="P247" s="31">
        <f t="shared" si="270"/>
        <v>493.7523085</v>
      </c>
      <c r="Q247" s="31">
        <f t="shared" si="271"/>
        <v>16.18860028</v>
      </c>
      <c r="R247" s="31" t="str">
        <f t="shared" si="272"/>
        <v/>
      </c>
      <c r="S247" s="31" t="str">
        <f t="shared" si="273"/>
        <v/>
      </c>
      <c r="T247" s="31" t="str">
        <f t="shared" si="274"/>
        <v/>
      </c>
      <c r="U247" s="31" t="str">
        <f t="shared" si="275"/>
        <v/>
      </c>
      <c r="V247" s="31" t="str">
        <f t="shared" si="276"/>
        <v/>
      </c>
      <c r="W247" s="47">
        <f t="shared" si="277"/>
        <v>40479.595</v>
      </c>
    </row>
    <row r="248" ht="15.75" customHeight="1">
      <c r="A248" s="46">
        <f t="shared" si="255"/>
        <v>2046</v>
      </c>
      <c r="B248" s="47">
        <f t="shared" si="256"/>
        <v>41315.1895</v>
      </c>
      <c r="C248" s="31">
        <f t="shared" si="257"/>
        <v>6918.910459</v>
      </c>
      <c r="D248" s="31">
        <f t="shared" si="258"/>
        <v>1230.946458</v>
      </c>
      <c r="E248" s="31">
        <f t="shared" si="259"/>
        <v>446.1148236</v>
      </c>
      <c r="F248" s="31">
        <f t="shared" si="260"/>
        <v>4006.772027</v>
      </c>
      <c r="G248" s="31">
        <f t="shared" si="261"/>
        <v>867.4454904</v>
      </c>
      <c r="H248" s="31">
        <f t="shared" si="262"/>
        <v>293.2791896</v>
      </c>
      <c r="I248" s="31">
        <f t="shared" si="263"/>
        <v>181.7504837</v>
      </c>
      <c r="J248" s="31">
        <f t="shared" si="264"/>
        <v>16.52277125</v>
      </c>
      <c r="K248" s="31">
        <f t="shared" si="265"/>
        <v>22194.21248</v>
      </c>
      <c r="L248" s="31">
        <f t="shared" si="266"/>
        <v>929.4058826</v>
      </c>
      <c r="M248" s="31">
        <f t="shared" si="267"/>
        <v>2511.461229</v>
      </c>
      <c r="N248" s="31">
        <f t="shared" si="268"/>
        <v>276.7564184</v>
      </c>
      <c r="O248" s="31">
        <f t="shared" si="269"/>
        <v>921.144497</v>
      </c>
      <c r="P248" s="31">
        <f t="shared" si="270"/>
        <v>503.944523</v>
      </c>
      <c r="Q248" s="31">
        <f t="shared" si="271"/>
        <v>16.52277125</v>
      </c>
      <c r="R248" s="31" t="str">
        <f t="shared" si="272"/>
        <v/>
      </c>
      <c r="S248" s="31" t="str">
        <f t="shared" si="273"/>
        <v/>
      </c>
      <c r="T248" s="31" t="str">
        <f t="shared" si="274"/>
        <v/>
      </c>
      <c r="U248" s="31" t="str">
        <f t="shared" si="275"/>
        <v/>
      </c>
      <c r="V248" s="31" t="str">
        <f t="shared" si="276"/>
        <v/>
      </c>
      <c r="W248" s="47">
        <f t="shared" si="277"/>
        <v>41315.1895</v>
      </c>
    </row>
    <row r="249" ht="15.75" customHeight="1">
      <c r="A249" s="46">
        <f t="shared" si="255"/>
        <v>2047</v>
      </c>
      <c r="B249" s="47">
        <f t="shared" si="256"/>
        <v>42150.784</v>
      </c>
      <c r="C249" s="31">
        <f t="shared" si="257"/>
        <v>7058.844551</v>
      </c>
      <c r="D249" s="31">
        <f t="shared" si="258"/>
        <v>1255.842195</v>
      </c>
      <c r="E249" s="31">
        <f t="shared" si="259"/>
        <v>455.1374397</v>
      </c>
      <c r="F249" s="31">
        <f t="shared" si="260"/>
        <v>4087.808486</v>
      </c>
      <c r="G249" s="31">
        <f t="shared" si="261"/>
        <v>884.9894661</v>
      </c>
      <c r="H249" s="31">
        <f t="shared" si="262"/>
        <v>299.2107243</v>
      </c>
      <c r="I249" s="31">
        <f t="shared" si="263"/>
        <v>185.4263643</v>
      </c>
      <c r="J249" s="31">
        <f t="shared" si="264"/>
        <v>16.85694221</v>
      </c>
      <c r="K249" s="31">
        <f t="shared" si="265"/>
        <v>22643.08763</v>
      </c>
      <c r="L249" s="31">
        <f t="shared" si="266"/>
        <v>948.2029994</v>
      </c>
      <c r="M249" s="31">
        <f t="shared" si="267"/>
        <v>2562.255216</v>
      </c>
      <c r="N249" s="31">
        <f t="shared" si="268"/>
        <v>282.353782</v>
      </c>
      <c r="O249" s="31">
        <f t="shared" si="269"/>
        <v>939.7745283</v>
      </c>
      <c r="P249" s="31">
        <f t="shared" si="270"/>
        <v>514.1367375</v>
      </c>
      <c r="Q249" s="31">
        <f t="shared" si="271"/>
        <v>16.85694221</v>
      </c>
      <c r="R249" s="31" t="str">
        <f t="shared" si="272"/>
        <v/>
      </c>
      <c r="S249" s="31" t="str">
        <f t="shared" si="273"/>
        <v/>
      </c>
      <c r="T249" s="31" t="str">
        <f t="shared" si="274"/>
        <v/>
      </c>
      <c r="U249" s="31" t="str">
        <f t="shared" si="275"/>
        <v/>
      </c>
      <c r="V249" s="31" t="str">
        <f t="shared" si="276"/>
        <v/>
      </c>
      <c r="W249" s="47">
        <f t="shared" si="277"/>
        <v>42150.784</v>
      </c>
    </row>
    <row r="250" ht="15.75" customHeight="1">
      <c r="A250" s="46">
        <f t="shared" si="255"/>
        <v>2048</v>
      </c>
      <c r="B250" s="47">
        <f t="shared" si="256"/>
        <v>42986.3785</v>
      </c>
      <c r="C250" s="31">
        <f t="shared" si="257"/>
        <v>7198.778643</v>
      </c>
      <c r="D250" s="31">
        <f t="shared" si="258"/>
        <v>1280.737932</v>
      </c>
      <c r="E250" s="31">
        <f t="shared" si="259"/>
        <v>464.1600558</v>
      </c>
      <c r="F250" s="31">
        <f t="shared" si="260"/>
        <v>4168.844946</v>
      </c>
      <c r="G250" s="31">
        <f t="shared" si="261"/>
        <v>902.5334418</v>
      </c>
      <c r="H250" s="31">
        <f t="shared" si="262"/>
        <v>305.1422589</v>
      </c>
      <c r="I250" s="31">
        <f t="shared" si="263"/>
        <v>189.102245</v>
      </c>
      <c r="J250" s="31">
        <f t="shared" si="264"/>
        <v>17.19111318</v>
      </c>
      <c r="K250" s="31">
        <f t="shared" si="265"/>
        <v>23091.96278</v>
      </c>
      <c r="L250" s="31">
        <f t="shared" si="266"/>
        <v>967.0001162</v>
      </c>
      <c r="M250" s="31">
        <f t="shared" si="267"/>
        <v>2613.049203</v>
      </c>
      <c r="N250" s="31">
        <f t="shared" si="268"/>
        <v>287.9511457</v>
      </c>
      <c r="O250" s="31">
        <f t="shared" si="269"/>
        <v>958.4045596</v>
      </c>
      <c r="P250" s="31">
        <f t="shared" si="270"/>
        <v>524.3289519</v>
      </c>
      <c r="Q250" s="31">
        <f t="shared" si="271"/>
        <v>17.19111318</v>
      </c>
      <c r="R250" s="31" t="str">
        <f t="shared" si="272"/>
        <v/>
      </c>
      <c r="S250" s="31" t="str">
        <f t="shared" si="273"/>
        <v/>
      </c>
      <c r="T250" s="31" t="str">
        <f t="shared" si="274"/>
        <v/>
      </c>
      <c r="U250" s="31" t="str">
        <f t="shared" si="275"/>
        <v/>
      </c>
      <c r="V250" s="31" t="str">
        <f t="shared" si="276"/>
        <v/>
      </c>
      <c r="W250" s="47">
        <f t="shared" si="277"/>
        <v>42986.3785</v>
      </c>
    </row>
    <row r="251" ht="15.75" customHeight="1">
      <c r="A251" s="46">
        <f t="shared" si="255"/>
        <v>2049</v>
      </c>
      <c r="B251" s="47">
        <f t="shared" si="256"/>
        <v>43821.973</v>
      </c>
      <c r="C251" s="31">
        <f t="shared" si="257"/>
        <v>7338.712735</v>
      </c>
      <c r="D251" s="31">
        <f t="shared" si="258"/>
        <v>1305.633669</v>
      </c>
      <c r="E251" s="31">
        <f t="shared" si="259"/>
        <v>473.1826719</v>
      </c>
      <c r="F251" s="31">
        <f t="shared" si="260"/>
        <v>4249.881405</v>
      </c>
      <c r="G251" s="31">
        <f t="shared" si="261"/>
        <v>920.0774175</v>
      </c>
      <c r="H251" s="31">
        <f t="shared" si="262"/>
        <v>311.0737935</v>
      </c>
      <c r="I251" s="31">
        <f t="shared" si="263"/>
        <v>192.7781256</v>
      </c>
      <c r="J251" s="31">
        <f t="shared" si="264"/>
        <v>17.52528414</v>
      </c>
      <c r="K251" s="31">
        <f t="shared" si="265"/>
        <v>23540.83793</v>
      </c>
      <c r="L251" s="31">
        <f t="shared" si="266"/>
        <v>985.7972331</v>
      </c>
      <c r="M251" s="31">
        <f t="shared" si="267"/>
        <v>2663.84319</v>
      </c>
      <c r="N251" s="31">
        <f t="shared" si="268"/>
        <v>293.5485094</v>
      </c>
      <c r="O251" s="31">
        <f t="shared" si="269"/>
        <v>977.034591</v>
      </c>
      <c r="P251" s="31">
        <f t="shared" si="270"/>
        <v>534.5211664</v>
      </c>
      <c r="Q251" s="31">
        <f t="shared" si="271"/>
        <v>17.52528414</v>
      </c>
      <c r="R251" s="31" t="str">
        <f t="shared" si="272"/>
        <v/>
      </c>
      <c r="S251" s="31" t="str">
        <f t="shared" si="273"/>
        <v/>
      </c>
      <c r="T251" s="31" t="str">
        <f t="shared" si="274"/>
        <v/>
      </c>
      <c r="U251" s="31" t="str">
        <f t="shared" si="275"/>
        <v/>
      </c>
      <c r="V251" s="31" t="str">
        <f t="shared" si="276"/>
        <v/>
      </c>
      <c r="W251" s="47">
        <f t="shared" si="277"/>
        <v>43821.973</v>
      </c>
    </row>
    <row r="252" ht="15.75" customHeight="1">
      <c r="A252" s="46">
        <f t="shared" si="255"/>
        <v>2050</v>
      </c>
      <c r="B252" s="47">
        <f t="shared" si="256"/>
        <v>44657.5675</v>
      </c>
      <c r="C252" s="31">
        <f t="shared" si="257"/>
        <v>7478.646827</v>
      </c>
      <c r="D252" s="31">
        <f t="shared" si="258"/>
        <v>1330.529406</v>
      </c>
      <c r="E252" s="31">
        <f t="shared" si="259"/>
        <v>482.2052879</v>
      </c>
      <c r="F252" s="31">
        <f t="shared" si="260"/>
        <v>4330.917864</v>
      </c>
      <c r="G252" s="31">
        <f t="shared" si="261"/>
        <v>937.6213932</v>
      </c>
      <c r="H252" s="31">
        <f t="shared" si="262"/>
        <v>317.0053282</v>
      </c>
      <c r="I252" s="31">
        <f t="shared" si="263"/>
        <v>196.4540062</v>
      </c>
      <c r="J252" s="31">
        <f t="shared" si="264"/>
        <v>17.85945511</v>
      </c>
      <c r="K252" s="31">
        <f t="shared" si="265"/>
        <v>23989.71308</v>
      </c>
      <c r="L252" s="31">
        <f t="shared" si="266"/>
        <v>1004.59435</v>
      </c>
      <c r="M252" s="31">
        <f t="shared" si="267"/>
        <v>2714.637177</v>
      </c>
      <c r="N252" s="31">
        <f t="shared" si="268"/>
        <v>299.1458731</v>
      </c>
      <c r="O252" s="31">
        <f t="shared" si="269"/>
        <v>995.6646223</v>
      </c>
      <c r="P252" s="31">
        <f t="shared" si="270"/>
        <v>544.7133808</v>
      </c>
      <c r="Q252" s="31">
        <f t="shared" si="271"/>
        <v>17.85945511</v>
      </c>
      <c r="R252" s="31" t="str">
        <f t="shared" si="272"/>
        <v/>
      </c>
      <c r="S252" s="31" t="str">
        <f t="shared" si="273"/>
        <v/>
      </c>
      <c r="T252" s="31" t="str">
        <f t="shared" si="274"/>
        <v/>
      </c>
      <c r="U252" s="31" t="str">
        <f t="shared" si="275"/>
        <v/>
      </c>
      <c r="V252" s="31" t="str">
        <f t="shared" si="276"/>
        <v/>
      </c>
      <c r="W252" s="47">
        <f t="shared" si="277"/>
        <v>44657.5675</v>
      </c>
    </row>
    <row r="253" ht="15.75" customHeight="1">
      <c r="A253" s="46">
        <f t="shared" si="255"/>
        <v>2051</v>
      </c>
      <c r="B253" s="47">
        <f t="shared" si="256"/>
        <v>45493.162</v>
      </c>
      <c r="C253" s="31">
        <f t="shared" si="257"/>
        <v>7618.580919</v>
      </c>
      <c r="D253" s="31">
        <f t="shared" si="258"/>
        <v>1355.425143</v>
      </c>
      <c r="E253" s="31">
        <f t="shared" si="259"/>
        <v>491.227904</v>
      </c>
      <c r="F253" s="31">
        <f t="shared" si="260"/>
        <v>4411.954323</v>
      </c>
      <c r="G253" s="31">
        <f t="shared" si="261"/>
        <v>955.1653689</v>
      </c>
      <c r="H253" s="31">
        <f t="shared" si="262"/>
        <v>322.9368628</v>
      </c>
      <c r="I253" s="31">
        <f t="shared" si="263"/>
        <v>200.1298868</v>
      </c>
      <c r="J253" s="31">
        <f t="shared" si="264"/>
        <v>18.19362607</v>
      </c>
      <c r="K253" s="31">
        <f t="shared" si="265"/>
        <v>24438.58822</v>
      </c>
      <c r="L253" s="31">
        <f t="shared" si="266"/>
        <v>1023.391467</v>
      </c>
      <c r="M253" s="31">
        <f t="shared" si="267"/>
        <v>2765.431163</v>
      </c>
      <c r="N253" s="31">
        <f t="shared" si="268"/>
        <v>304.7432368</v>
      </c>
      <c r="O253" s="31">
        <f t="shared" si="269"/>
        <v>1014.294654</v>
      </c>
      <c r="P253" s="31">
        <f t="shared" si="270"/>
        <v>554.9055953</v>
      </c>
      <c r="Q253" s="31">
        <f t="shared" si="271"/>
        <v>18.19362607</v>
      </c>
      <c r="R253" s="31" t="str">
        <f t="shared" si="272"/>
        <v/>
      </c>
      <c r="S253" s="31" t="str">
        <f t="shared" si="273"/>
        <v/>
      </c>
      <c r="T253" s="31" t="str">
        <f t="shared" si="274"/>
        <v/>
      </c>
      <c r="U253" s="31" t="str">
        <f t="shared" si="275"/>
        <v/>
      </c>
      <c r="V253" s="31" t="str">
        <f t="shared" si="276"/>
        <v/>
      </c>
      <c r="W253" s="47">
        <f t="shared" si="277"/>
        <v>45493.162</v>
      </c>
    </row>
    <row r="254" ht="15.75" customHeight="1">
      <c r="A254" s="46">
        <f t="shared" si="255"/>
        <v>2052</v>
      </c>
      <c r="B254" s="47">
        <f t="shared" si="256"/>
        <v>46328.7565</v>
      </c>
      <c r="C254" s="31">
        <f t="shared" si="257"/>
        <v>7758.515011</v>
      </c>
      <c r="D254" s="31">
        <f t="shared" si="258"/>
        <v>1380.32088</v>
      </c>
      <c r="E254" s="31">
        <f t="shared" si="259"/>
        <v>500.2505201</v>
      </c>
      <c r="F254" s="31">
        <f t="shared" si="260"/>
        <v>4492.990782</v>
      </c>
      <c r="G254" s="31">
        <f t="shared" si="261"/>
        <v>972.7093446</v>
      </c>
      <c r="H254" s="31">
        <f t="shared" si="262"/>
        <v>328.8683975</v>
      </c>
      <c r="I254" s="31">
        <f t="shared" si="263"/>
        <v>203.8057674</v>
      </c>
      <c r="J254" s="31">
        <f t="shared" si="264"/>
        <v>18.52779704</v>
      </c>
      <c r="K254" s="31">
        <f t="shared" si="265"/>
        <v>24887.46337</v>
      </c>
      <c r="L254" s="31">
        <f t="shared" si="266"/>
        <v>1042.188584</v>
      </c>
      <c r="M254" s="31">
        <f t="shared" si="267"/>
        <v>2816.22515</v>
      </c>
      <c r="N254" s="31">
        <f t="shared" si="268"/>
        <v>310.3406004</v>
      </c>
      <c r="O254" s="31">
        <f t="shared" si="269"/>
        <v>1032.924685</v>
      </c>
      <c r="P254" s="31">
        <f t="shared" si="270"/>
        <v>565.0978097</v>
      </c>
      <c r="Q254" s="31">
        <f t="shared" si="271"/>
        <v>18.52779704</v>
      </c>
      <c r="R254" s="31" t="str">
        <f t="shared" si="272"/>
        <v/>
      </c>
      <c r="S254" s="31" t="str">
        <f t="shared" si="273"/>
        <v/>
      </c>
      <c r="T254" s="31" t="str">
        <f t="shared" si="274"/>
        <v/>
      </c>
      <c r="U254" s="31" t="str">
        <f t="shared" si="275"/>
        <v/>
      </c>
      <c r="V254" s="31" t="str">
        <f t="shared" si="276"/>
        <v/>
      </c>
      <c r="W254" s="47">
        <f t="shared" si="277"/>
        <v>46328.7565</v>
      </c>
    </row>
    <row r="255" ht="15.75" customHeight="1">
      <c r="A255" s="46">
        <f t="shared" si="255"/>
        <v>2053</v>
      </c>
      <c r="B255" s="47">
        <f t="shared" si="256"/>
        <v>47164.351</v>
      </c>
      <c r="C255" s="31">
        <f t="shared" si="257"/>
        <v>7898.449103</v>
      </c>
      <c r="D255" s="31">
        <f t="shared" si="258"/>
        <v>1405.216616</v>
      </c>
      <c r="E255" s="31">
        <f t="shared" si="259"/>
        <v>509.2731362</v>
      </c>
      <c r="F255" s="31">
        <f t="shared" si="260"/>
        <v>4574.027242</v>
      </c>
      <c r="G255" s="31">
        <f t="shared" si="261"/>
        <v>990.2533203</v>
      </c>
      <c r="H255" s="31">
        <f t="shared" si="262"/>
        <v>334.7999321</v>
      </c>
      <c r="I255" s="31">
        <f t="shared" si="263"/>
        <v>207.4816481</v>
      </c>
      <c r="J255" s="31">
        <f t="shared" si="264"/>
        <v>18.86196801</v>
      </c>
      <c r="K255" s="31">
        <f t="shared" si="265"/>
        <v>25336.33852</v>
      </c>
      <c r="L255" s="31">
        <f t="shared" si="266"/>
        <v>1060.9857</v>
      </c>
      <c r="M255" s="31">
        <f t="shared" si="267"/>
        <v>2867.019137</v>
      </c>
      <c r="N255" s="31">
        <f t="shared" si="268"/>
        <v>315.9379641</v>
      </c>
      <c r="O255" s="31">
        <f t="shared" si="269"/>
        <v>1051.554716</v>
      </c>
      <c r="P255" s="31">
        <f t="shared" si="270"/>
        <v>575.2900242</v>
      </c>
      <c r="Q255" s="31">
        <f t="shared" si="271"/>
        <v>18.86196801</v>
      </c>
      <c r="R255" s="31" t="str">
        <f t="shared" si="272"/>
        <v/>
      </c>
      <c r="S255" s="31" t="str">
        <f t="shared" si="273"/>
        <v/>
      </c>
      <c r="T255" s="31" t="str">
        <f t="shared" si="274"/>
        <v/>
      </c>
      <c r="U255" s="31" t="str">
        <f t="shared" si="275"/>
        <v/>
      </c>
      <c r="V255" s="31" t="str">
        <f t="shared" si="276"/>
        <v/>
      </c>
      <c r="W255" s="47">
        <f t="shared" si="277"/>
        <v>47164.351</v>
      </c>
    </row>
    <row r="256" ht="15.75" customHeight="1">
      <c r="A256" s="46">
        <f t="shared" si="255"/>
        <v>2054</v>
      </c>
      <c r="B256" s="47">
        <f t="shared" si="256"/>
        <v>47999.9455</v>
      </c>
      <c r="C256" s="31">
        <f t="shared" si="257"/>
        <v>8038.383195</v>
      </c>
      <c r="D256" s="31">
        <f t="shared" si="258"/>
        <v>1430.112353</v>
      </c>
      <c r="E256" s="31">
        <f t="shared" si="259"/>
        <v>518.2957522</v>
      </c>
      <c r="F256" s="31">
        <f t="shared" si="260"/>
        <v>4655.063701</v>
      </c>
      <c r="G256" s="31">
        <f t="shared" si="261"/>
        <v>1007.797296</v>
      </c>
      <c r="H256" s="31">
        <f t="shared" si="262"/>
        <v>340.7314668</v>
      </c>
      <c r="I256" s="31">
        <f t="shared" si="263"/>
        <v>211.1575287</v>
      </c>
      <c r="J256" s="31">
        <f t="shared" si="264"/>
        <v>19.19613897</v>
      </c>
      <c r="K256" s="31">
        <f t="shared" si="265"/>
        <v>25785.21367</v>
      </c>
      <c r="L256" s="31">
        <f t="shared" si="266"/>
        <v>1079.782817</v>
      </c>
      <c r="M256" s="31">
        <f t="shared" si="267"/>
        <v>2917.813124</v>
      </c>
      <c r="N256" s="31">
        <f t="shared" si="268"/>
        <v>321.5353278</v>
      </c>
      <c r="O256" s="31">
        <f t="shared" si="269"/>
        <v>1070.184748</v>
      </c>
      <c r="P256" s="31">
        <f t="shared" si="270"/>
        <v>585.4822387</v>
      </c>
      <c r="Q256" s="31">
        <f t="shared" si="271"/>
        <v>19.19613897</v>
      </c>
      <c r="R256" s="31" t="str">
        <f t="shared" si="272"/>
        <v/>
      </c>
      <c r="S256" s="31" t="str">
        <f t="shared" si="273"/>
        <v/>
      </c>
      <c r="T256" s="31" t="str">
        <f t="shared" si="274"/>
        <v/>
      </c>
      <c r="U256" s="31" t="str">
        <f t="shared" si="275"/>
        <v/>
      </c>
      <c r="V256" s="31" t="str">
        <f t="shared" si="276"/>
        <v/>
      </c>
      <c r="W256" s="47">
        <f t="shared" si="277"/>
        <v>47999.9455</v>
      </c>
    </row>
    <row r="257" ht="15.75" customHeight="1">
      <c r="A257" s="50" t="str">
        <f>"Total "&amp;$A$56&amp;"–"&amp;$A$80&amp;" (t)"</f>
        <v>Total 2030–2054 (t)</v>
      </c>
      <c r="B257" s="52">
        <f>SUM(B232:B256)</f>
        <v>949320.2875</v>
      </c>
      <c r="C257" s="52">
        <f t="shared" ref="C257:V257" si="278">IF(C$231="","",SUM(C232:C256))</f>
        <v>158979.3523</v>
      </c>
      <c r="D257" s="52">
        <f t="shared" si="278"/>
        <v>28284.08775</v>
      </c>
      <c r="E257" s="52">
        <f t="shared" si="278"/>
        <v>10250.60898</v>
      </c>
      <c r="F257" s="52">
        <f t="shared" si="278"/>
        <v>92065.65476</v>
      </c>
      <c r="G257" s="52">
        <f t="shared" si="278"/>
        <v>19931.73969</v>
      </c>
      <c r="H257" s="52">
        <f t="shared" si="278"/>
        <v>6738.826276</v>
      </c>
      <c r="I257" s="52">
        <f t="shared" si="278"/>
        <v>4176.17403</v>
      </c>
      <c r="J257" s="52">
        <f t="shared" si="278"/>
        <v>379.6521846</v>
      </c>
      <c r="K257" s="52">
        <f t="shared" si="278"/>
        <v>509967.7969</v>
      </c>
      <c r="L257" s="52">
        <f t="shared" si="278"/>
        <v>21355.43538</v>
      </c>
      <c r="M257" s="52">
        <f t="shared" si="278"/>
        <v>57707.13205</v>
      </c>
      <c r="N257" s="52">
        <f t="shared" si="278"/>
        <v>6359.174091</v>
      </c>
      <c r="O257" s="52">
        <f t="shared" si="278"/>
        <v>21165.60929</v>
      </c>
      <c r="P257" s="52">
        <f t="shared" si="278"/>
        <v>11579.39163</v>
      </c>
      <c r="Q257" s="52">
        <f t="shared" si="278"/>
        <v>379.6521846</v>
      </c>
      <c r="R257" s="52" t="str">
        <f t="shared" si="278"/>
        <v/>
      </c>
      <c r="S257" s="52" t="str">
        <f t="shared" si="278"/>
        <v/>
      </c>
      <c r="T257" s="52" t="str">
        <f t="shared" si="278"/>
        <v/>
      </c>
      <c r="U257" s="52" t="str">
        <f t="shared" si="278"/>
        <v/>
      </c>
      <c r="V257" s="52" t="str">
        <f t="shared" si="278"/>
        <v/>
      </c>
      <c r="W257" s="52">
        <f>SUM(W232:W256)</f>
        <v>949320.2875</v>
      </c>
    </row>
    <row r="258" ht="15.75" customHeight="1"/>
    <row r="259" ht="15.75" customHeight="1">
      <c r="A259" s="65" t="str">
        <f>F$25</f>
        <v>Sultanbeyli</v>
      </c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3"/>
      <c r="X259" s="45"/>
      <c r="Y259" s="45"/>
      <c r="Z259" s="45"/>
    </row>
    <row r="260" ht="43.5" customHeight="1">
      <c r="A260" s="44" t="s">
        <v>31</v>
      </c>
      <c r="B260" s="44" t="s">
        <v>89</v>
      </c>
      <c r="C260" s="44" t="str">
        <f>IF($A$87="","",$A$87)</f>
        <v>Paper &amp; cardboard</v>
      </c>
      <c r="D260" s="44" t="str">
        <f>IF($A$88="","",$A$88)</f>
        <v>Glass</v>
      </c>
      <c r="E260" s="44" t="str">
        <f>IF($A$89="","",$A$89)</f>
        <v>PET</v>
      </c>
      <c r="F260" s="44" t="str">
        <f>IF($A$90="","",$A$90)</f>
        <v>Plastic bags</v>
      </c>
      <c r="G260" s="44" t="str">
        <f>IF($A$91="","",$A$91)</f>
        <v>Plastic</v>
      </c>
      <c r="H260" s="44" t="str">
        <f>IF($A$92="","",$A$92)</f>
        <v>Ferrous metal</v>
      </c>
      <c r="I260" s="44" t="str">
        <f>IF($A$93="","",$A$93)</f>
        <v>Aluminum</v>
      </c>
      <c r="J260" s="44" t="str">
        <f>IF($A$94="","",$A$94)</f>
        <v>Other metals</v>
      </c>
      <c r="K260" s="44" t="str">
        <f>IF($A$95="","",$A$95)</f>
        <v>Organic matter</v>
      </c>
      <c r="L260" s="44" t="str">
        <f>IF($A$96="","",$A$96)</f>
        <v>Textile</v>
      </c>
      <c r="M260" s="44" t="str">
        <f>IF($A$97="","",$A$97)</f>
        <v>Diapers</v>
      </c>
      <c r="N260" s="44" t="str">
        <f>IF($A$98="","",$A$98)</f>
        <v>Tetra Pak</v>
      </c>
      <c r="O260" s="44" t="str">
        <f>IF($A$99="","",$A$99)</f>
        <v>Other combustible</v>
      </c>
      <c r="P260" s="44" t="str">
        <f>IF($A$100="","",$A$100)</f>
        <v>Other non-combustible</v>
      </c>
      <c r="Q260" s="44" t="str">
        <f>IF($A$101="","",$A$101)</f>
        <v>Electrical/electronic waste</v>
      </c>
      <c r="R260" s="44" t="str">
        <f>IF($A$102="","",$A$102)</f>
        <v/>
      </c>
      <c r="S260" s="44" t="str">
        <f>IF($A$103="","",$A$103)</f>
        <v/>
      </c>
      <c r="T260" s="44" t="str">
        <f>IF($A$104="","",$A$104)</f>
        <v/>
      </c>
      <c r="U260" s="44" t="str">
        <f>IF($A$105="","",$A$105)</f>
        <v/>
      </c>
      <c r="V260" s="44" t="str">
        <f>IF($A$106="","",$A$106)</f>
        <v/>
      </c>
      <c r="W260" s="44" t="s">
        <v>90</v>
      </c>
      <c r="X260" s="45"/>
      <c r="Y260" s="45"/>
      <c r="Z260" s="45"/>
    </row>
    <row r="261" ht="15.75" customHeight="1">
      <c r="A261" s="46">
        <f t="shared" ref="A261:A285" si="279">A56</f>
        <v>2030</v>
      </c>
      <c r="B261" s="47">
        <f t="shared" ref="B261:B285" si="280">R56</f>
        <v>198051.7705</v>
      </c>
      <c r="C261" s="31">
        <f t="shared" ref="C261:C285" si="281">IF(C$260="","",$B261*$D$87/100)</f>
        <v>33167.03816</v>
      </c>
      <c r="D261" s="31">
        <f t="shared" ref="D261:D285" si="282">IF(D$260="","",$B261*$D$88/100)</f>
        <v>5900.762609</v>
      </c>
      <c r="E261" s="31">
        <f t="shared" ref="E261:E285" si="283">IF(E$260="","",$B261*$D$89/100)</f>
        <v>2138.531415</v>
      </c>
      <c r="F261" s="31">
        <f t="shared" ref="F261:F285" si="284">IF(F$260="","",$B261*$D$90/100)</f>
        <v>19207.18031</v>
      </c>
      <c r="G261" s="31">
        <f t="shared" ref="G261:G285" si="285">IF(G$260="","",$B261*$D$91/100)</f>
        <v>4158.25553</v>
      </c>
      <c r="H261" s="31">
        <f t="shared" ref="H261:H285" si="286">IF(H$260="","",$B261*$D$92/100)</f>
        <v>1405.886393</v>
      </c>
      <c r="I261" s="31">
        <f t="shared" ref="I261:I285" si="287">IF(I$260="","",$B261*$D$93/100)</f>
        <v>871.2535396</v>
      </c>
      <c r="J261" s="31">
        <f t="shared" ref="J261:J285" si="288">IF(J$260="","",$B261*$D$94/100)</f>
        <v>79.20486724</v>
      </c>
      <c r="K261" s="31">
        <f t="shared" ref="K261:K285" si="289">IF(K$260="","",$B261*$D$95/100)</f>
        <v>106391.9379</v>
      </c>
      <c r="L261" s="31">
        <f t="shared" ref="L261:L285" si="290">IF(L$260="","",$B261*$D$96/100)</f>
        <v>4455.273782</v>
      </c>
      <c r="M261" s="31">
        <f t="shared" ref="M261:M285" si="291">IF(M$260="","",$B261*$D$97/100)</f>
        <v>12039.13982</v>
      </c>
      <c r="N261" s="31">
        <f t="shared" ref="N261:N285" si="292">IF(N$260="","",$B261*$D$98/100)</f>
        <v>1326.681526</v>
      </c>
      <c r="O261" s="31">
        <f t="shared" ref="O261:O285" si="293">IF(O$260="","",$B261*$D$99/100)</f>
        <v>4415.671349</v>
      </c>
      <c r="P261" s="31">
        <f t="shared" ref="P261:P285" si="294">IF(P$260="","",$B261*$D$100/100)</f>
        <v>2415.748451</v>
      </c>
      <c r="Q261" s="31">
        <f t="shared" ref="Q261:Q285" si="295">IF(Q$260="","",$B261*$D$101/100)</f>
        <v>79.20486724</v>
      </c>
      <c r="R261" s="31" t="str">
        <f t="shared" ref="R261:R285" si="296">IF(R$260="","",$B261*$D$102/100)</f>
        <v/>
      </c>
      <c r="S261" s="31" t="str">
        <f t="shared" ref="S261:S285" si="297">IF(S$260="","",$B261*$D$103/100)</f>
        <v/>
      </c>
      <c r="T261" s="31" t="str">
        <f t="shared" ref="T261:T285" si="298">IF(T$260="","",$B261*$D$104/100)</f>
        <v/>
      </c>
      <c r="U261" s="31" t="str">
        <f t="shared" ref="U261:U285" si="299">IF(U$260="","",$B261*$D$105/100)</f>
        <v/>
      </c>
      <c r="V261" s="31" t="str">
        <f t="shared" ref="V261:V285" si="300">IF(V$260="","",$B261*$D$106/100)</f>
        <v/>
      </c>
      <c r="W261" s="47">
        <f t="shared" ref="W261:W285" si="301">SUM(C261:V261)</f>
        <v>198051.7705</v>
      </c>
    </row>
    <row r="262" ht="15.75" customHeight="1">
      <c r="A262" s="46">
        <f t="shared" si="279"/>
        <v>2031</v>
      </c>
      <c r="B262" s="47">
        <f t="shared" si="280"/>
        <v>201920.5297</v>
      </c>
      <c r="C262" s="31">
        <f t="shared" si="281"/>
        <v>33814.92573</v>
      </c>
      <c r="D262" s="31">
        <f t="shared" si="282"/>
        <v>6016.028578</v>
      </c>
      <c r="E262" s="31">
        <f t="shared" si="283"/>
        <v>2180.305659</v>
      </c>
      <c r="F262" s="31">
        <f t="shared" si="284"/>
        <v>19582.3749</v>
      </c>
      <c r="G262" s="31">
        <f t="shared" si="285"/>
        <v>4239.483226</v>
      </c>
      <c r="H262" s="31">
        <f t="shared" si="286"/>
        <v>1433.349091</v>
      </c>
      <c r="I262" s="31">
        <f t="shared" si="287"/>
        <v>888.272676</v>
      </c>
      <c r="J262" s="31">
        <f t="shared" si="288"/>
        <v>80.75206145</v>
      </c>
      <c r="K262" s="31">
        <f t="shared" si="289"/>
        <v>108470.2065</v>
      </c>
      <c r="L262" s="31">
        <f t="shared" si="290"/>
        <v>4542.303457</v>
      </c>
      <c r="M262" s="31">
        <f t="shared" si="291"/>
        <v>12274.31334</v>
      </c>
      <c r="N262" s="31">
        <f t="shared" si="292"/>
        <v>1352.597029</v>
      </c>
      <c r="O262" s="31">
        <f t="shared" si="293"/>
        <v>4501.927426</v>
      </c>
      <c r="P262" s="31">
        <f t="shared" si="294"/>
        <v>2462.937874</v>
      </c>
      <c r="Q262" s="31">
        <f t="shared" si="295"/>
        <v>80.75206145</v>
      </c>
      <c r="R262" s="31" t="str">
        <f t="shared" si="296"/>
        <v/>
      </c>
      <c r="S262" s="31" t="str">
        <f t="shared" si="297"/>
        <v/>
      </c>
      <c r="T262" s="31" t="str">
        <f t="shared" si="298"/>
        <v/>
      </c>
      <c r="U262" s="31" t="str">
        <f t="shared" si="299"/>
        <v/>
      </c>
      <c r="V262" s="31" t="str">
        <f t="shared" si="300"/>
        <v/>
      </c>
      <c r="W262" s="47">
        <f t="shared" si="301"/>
        <v>201920.5297</v>
      </c>
    </row>
    <row r="263" ht="15.75" customHeight="1">
      <c r="A263" s="46">
        <f t="shared" si="279"/>
        <v>2032</v>
      </c>
      <c r="B263" s="47">
        <f t="shared" si="280"/>
        <v>205864.8614</v>
      </c>
      <c r="C263" s="31">
        <f t="shared" si="281"/>
        <v>34475.4692</v>
      </c>
      <c r="D263" s="31">
        <f t="shared" si="282"/>
        <v>6133.546162</v>
      </c>
      <c r="E263" s="31">
        <f t="shared" si="283"/>
        <v>2222.895924</v>
      </c>
      <c r="F263" s="31">
        <f t="shared" si="284"/>
        <v>19964.89858</v>
      </c>
      <c r="G263" s="31">
        <f t="shared" si="285"/>
        <v>4322.297631</v>
      </c>
      <c r="H263" s="31">
        <f t="shared" si="286"/>
        <v>1461.348247</v>
      </c>
      <c r="I263" s="31">
        <f t="shared" si="287"/>
        <v>905.6242655</v>
      </c>
      <c r="J263" s="31">
        <f t="shared" si="288"/>
        <v>82.32947868</v>
      </c>
      <c r="K263" s="31">
        <f t="shared" si="289"/>
        <v>110589.0722</v>
      </c>
      <c r="L263" s="31">
        <f t="shared" si="290"/>
        <v>4631.033176</v>
      </c>
      <c r="M263" s="31">
        <f t="shared" si="291"/>
        <v>12514.08076</v>
      </c>
      <c r="N263" s="31">
        <f t="shared" si="292"/>
        <v>1379.018768</v>
      </c>
      <c r="O263" s="31">
        <f t="shared" si="293"/>
        <v>4589.868437</v>
      </c>
      <c r="P263" s="31">
        <f t="shared" si="294"/>
        <v>2511.0491</v>
      </c>
      <c r="Q263" s="31">
        <f t="shared" si="295"/>
        <v>82.32947868</v>
      </c>
      <c r="R263" s="31" t="str">
        <f t="shared" si="296"/>
        <v/>
      </c>
      <c r="S263" s="31" t="str">
        <f t="shared" si="297"/>
        <v/>
      </c>
      <c r="T263" s="31" t="str">
        <f t="shared" si="298"/>
        <v/>
      </c>
      <c r="U263" s="31" t="str">
        <f t="shared" si="299"/>
        <v/>
      </c>
      <c r="V263" s="31" t="str">
        <f t="shared" si="300"/>
        <v/>
      </c>
      <c r="W263" s="47">
        <f t="shared" si="301"/>
        <v>205864.8614</v>
      </c>
    </row>
    <row r="264" ht="15.75" customHeight="1">
      <c r="A264" s="46">
        <f t="shared" si="279"/>
        <v>2033</v>
      </c>
      <c r="B264" s="47">
        <f t="shared" si="280"/>
        <v>209886.2421</v>
      </c>
      <c r="C264" s="31">
        <f t="shared" si="281"/>
        <v>35148.91577</v>
      </c>
      <c r="D264" s="31">
        <f t="shared" si="282"/>
        <v>6253.359344</v>
      </c>
      <c r="E264" s="31">
        <f t="shared" si="283"/>
        <v>2266.318151</v>
      </c>
      <c r="F264" s="31">
        <f t="shared" si="284"/>
        <v>20354.89451</v>
      </c>
      <c r="G264" s="31">
        <f t="shared" si="285"/>
        <v>4406.729739</v>
      </c>
      <c r="H264" s="31">
        <f t="shared" si="286"/>
        <v>1489.89434</v>
      </c>
      <c r="I264" s="31">
        <f t="shared" si="287"/>
        <v>923.3148024</v>
      </c>
      <c r="J264" s="31">
        <f t="shared" si="288"/>
        <v>83.93770931</v>
      </c>
      <c r="K264" s="31">
        <f t="shared" si="289"/>
        <v>112749.328</v>
      </c>
      <c r="L264" s="31">
        <f t="shared" si="290"/>
        <v>4721.496149</v>
      </c>
      <c r="M264" s="31">
        <f t="shared" si="291"/>
        <v>12758.53181</v>
      </c>
      <c r="N264" s="31">
        <f t="shared" si="292"/>
        <v>1405.956631</v>
      </c>
      <c r="O264" s="31">
        <f t="shared" si="293"/>
        <v>4679.527294</v>
      </c>
      <c r="P264" s="31">
        <f t="shared" si="294"/>
        <v>2560.100134</v>
      </c>
      <c r="Q264" s="31">
        <f t="shared" si="295"/>
        <v>83.93770931</v>
      </c>
      <c r="R264" s="31" t="str">
        <f t="shared" si="296"/>
        <v/>
      </c>
      <c r="S264" s="31" t="str">
        <f t="shared" si="297"/>
        <v/>
      </c>
      <c r="T264" s="31" t="str">
        <f t="shared" si="298"/>
        <v/>
      </c>
      <c r="U264" s="31" t="str">
        <f t="shared" si="299"/>
        <v/>
      </c>
      <c r="V264" s="31" t="str">
        <f t="shared" si="300"/>
        <v/>
      </c>
      <c r="W264" s="47">
        <f t="shared" si="301"/>
        <v>209886.2421</v>
      </c>
    </row>
    <row r="265" ht="15.75" customHeight="1">
      <c r="A265" s="46">
        <f t="shared" si="279"/>
        <v>2034</v>
      </c>
      <c r="B265" s="47">
        <f t="shared" si="280"/>
        <v>213986.1768</v>
      </c>
      <c r="C265" s="31">
        <f t="shared" si="281"/>
        <v>35835.51751</v>
      </c>
      <c r="D265" s="31">
        <f t="shared" si="282"/>
        <v>6375.512965</v>
      </c>
      <c r="E265" s="31">
        <f t="shared" si="283"/>
        <v>2310.588591</v>
      </c>
      <c r="F265" s="31">
        <f t="shared" si="284"/>
        <v>20752.50865</v>
      </c>
      <c r="G265" s="31">
        <f t="shared" si="285"/>
        <v>4492.81115</v>
      </c>
      <c r="H265" s="31">
        <f t="shared" si="286"/>
        <v>1518.998055</v>
      </c>
      <c r="I265" s="31">
        <f t="shared" si="287"/>
        <v>941.3509076</v>
      </c>
      <c r="J265" s="31">
        <f t="shared" si="288"/>
        <v>85.57735524</v>
      </c>
      <c r="K265" s="31">
        <f t="shared" si="289"/>
        <v>114951.7824</v>
      </c>
      <c r="L265" s="31">
        <f t="shared" si="290"/>
        <v>4813.726232</v>
      </c>
      <c r="M265" s="31">
        <f t="shared" si="291"/>
        <v>13007.758</v>
      </c>
      <c r="N265" s="31">
        <f t="shared" si="292"/>
        <v>1433.4207</v>
      </c>
      <c r="O265" s="31">
        <f t="shared" si="293"/>
        <v>4770.937555</v>
      </c>
      <c r="P265" s="31">
        <f t="shared" si="294"/>
        <v>2610.109335</v>
      </c>
      <c r="Q265" s="31">
        <f t="shared" si="295"/>
        <v>85.57735524</v>
      </c>
      <c r="R265" s="31" t="str">
        <f t="shared" si="296"/>
        <v/>
      </c>
      <c r="S265" s="31" t="str">
        <f t="shared" si="297"/>
        <v/>
      </c>
      <c r="T265" s="31" t="str">
        <f t="shared" si="298"/>
        <v/>
      </c>
      <c r="U265" s="31" t="str">
        <f t="shared" si="299"/>
        <v/>
      </c>
      <c r="V265" s="31" t="str">
        <f t="shared" si="300"/>
        <v/>
      </c>
      <c r="W265" s="47">
        <f t="shared" si="301"/>
        <v>213986.1768</v>
      </c>
    </row>
    <row r="266" ht="15.75" customHeight="1">
      <c r="A266" s="46">
        <f t="shared" si="279"/>
        <v>2035</v>
      </c>
      <c r="B266" s="47">
        <f t="shared" si="280"/>
        <v>218166.1999</v>
      </c>
      <c r="C266" s="31">
        <f t="shared" si="281"/>
        <v>36535.53137</v>
      </c>
      <c r="D266" s="31">
        <f t="shared" si="282"/>
        <v>6500.052746</v>
      </c>
      <c r="E266" s="31">
        <f t="shared" si="283"/>
        <v>2355.723814</v>
      </c>
      <c r="F266" s="31">
        <f t="shared" si="284"/>
        <v>21157.88981</v>
      </c>
      <c r="G266" s="31">
        <f t="shared" si="285"/>
        <v>4580.574083</v>
      </c>
      <c r="H266" s="31">
        <f t="shared" si="286"/>
        <v>1548.670285</v>
      </c>
      <c r="I266" s="31">
        <f t="shared" si="287"/>
        <v>959.7393316</v>
      </c>
      <c r="J266" s="31">
        <f t="shared" si="288"/>
        <v>87.24903014</v>
      </c>
      <c r="K266" s="31">
        <f t="shared" si="289"/>
        <v>117197.2597</v>
      </c>
      <c r="L266" s="31">
        <f t="shared" si="290"/>
        <v>4907.757946</v>
      </c>
      <c r="M266" s="31">
        <f t="shared" si="291"/>
        <v>13261.85258</v>
      </c>
      <c r="N266" s="31">
        <f t="shared" si="292"/>
        <v>1461.421255</v>
      </c>
      <c r="O266" s="31">
        <f t="shared" si="293"/>
        <v>4864.133431</v>
      </c>
      <c r="P266" s="31">
        <f t="shared" si="294"/>
        <v>2661.095419</v>
      </c>
      <c r="Q266" s="31">
        <f t="shared" si="295"/>
        <v>87.24903014</v>
      </c>
      <c r="R266" s="31" t="str">
        <f t="shared" si="296"/>
        <v/>
      </c>
      <c r="S266" s="31" t="str">
        <f t="shared" si="297"/>
        <v/>
      </c>
      <c r="T266" s="31" t="str">
        <f t="shared" si="298"/>
        <v/>
      </c>
      <c r="U266" s="31" t="str">
        <f t="shared" si="299"/>
        <v/>
      </c>
      <c r="V266" s="31" t="str">
        <f t="shared" si="300"/>
        <v/>
      </c>
      <c r="W266" s="47">
        <f t="shared" si="301"/>
        <v>218166.1999</v>
      </c>
    </row>
    <row r="267" ht="15.75" customHeight="1">
      <c r="A267" s="46">
        <f t="shared" si="279"/>
        <v>2036</v>
      </c>
      <c r="B267" s="47">
        <f t="shared" si="280"/>
        <v>222427.8759</v>
      </c>
      <c r="C267" s="31">
        <f t="shared" si="281"/>
        <v>37249.21937</v>
      </c>
      <c r="D267" s="31">
        <f t="shared" si="282"/>
        <v>6627.025296</v>
      </c>
      <c r="E267" s="31">
        <f t="shared" si="283"/>
        <v>2401.740711</v>
      </c>
      <c r="F267" s="31">
        <f t="shared" si="284"/>
        <v>21571.18972</v>
      </c>
      <c r="G267" s="31">
        <f t="shared" si="285"/>
        <v>4670.051383</v>
      </c>
      <c r="H267" s="31">
        <f t="shared" si="286"/>
        <v>1578.922134</v>
      </c>
      <c r="I267" s="31">
        <f t="shared" si="287"/>
        <v>978.4869565</v>
      </c>
      <c r="J267" s="31">
        <f t="shared" si="288"/>
        <v>88.95335968</v>
      </c>
      <c r="K267" s="31">
        <f t="shared" si="289"/>
        <v>119486.6004</v>
      </c>
      <c r="L267" s="31">
        <f t="shared" si="290"/>
        <v>5003.626482</v>
      </c>
      <c r="M267" s="31">
        <f t="shared" si="291"/>
        <v>13520.91067</v>
      </c>
      <c r="N267" s="31">
        <f t="shared" si="292"/>
        <v>1489.968775</v>
      </c>
      <c r="O267" s="31">
        <f t="shared" si="293"/>
        <v>4959.149802</v>
      </c>
      <c r="P267" s="31">
        <f t="shared" si="294"/>
        <v>2713.07747</v>
      </c>
      <c r="Q267" s="31">
        <f t="shared" si="295"/>
        <v>88.95335968</v>
      </c>
      <c r="R267" s="31" t="str">
        <f t="shared" si="296"/>
        <v/>
      </c>
      <c r="S267" s="31" t="str">
        <f t="shared" si="297"/>
        <v/>
      </c>
      <c r="T267" s="31" t="str">
        <f t="shared" si="298"/>
        <v/>
      </c>
      <c r="U267" s="31" t="str">
        <f t="shared" si="299"/>
        <v/>
      </c>
      <c r="V267" s="31" t="str">
        <f t="shared" si="300"/>
        <v/>
      </c>
      <c r="W267" s="47">
        <f t="shared" si="301"/>
        <v>222427.8759</v>
      </c>
    </row>
    <row r="268" ht="15.75" customHeight="1">
      <c r="A268" s="46">
        <f t="shared" si="279"/>
        <v>2037</v>
      </c>
      <c r="B268" s="47">
        <f t="shared" si="280"/>
        <v>226772.7998</v>
      </c>
      <c r="C268" s="31">
        <f t="shared" si="281"/>
        <v>37976.8486</v>
      </c>
      <c r="D268" s="31">
        <f t="shared" si="282"/>
        <v>6756.478139</v>
      </c>
      <c r="E268" s="31">
        <f t="shared" si="283"/>
        <v>2448.656507</v>
      </c>
      <c r="F268" s="31">
        <f t="shared" si="284"/>
        <v>21992.56307</v>
      </c>
      <c r="G268" s="31">
        <f t="shared" si="285"/>
        <v>4761.276541</v>
      </c>
      <c r="H268" s="31">
        <f t="shared" si="286"/>
        <v>1609.764926</v>
      </c>
      <c r="I268" s="31">
        <f t="shared" si="287"/>
        <v>997.600799</v>
      </c>
      <c r="J268" s="31">
        <f t="shared" si="288"/>
        <v>90.69098173</v>
      </c>
      <c r="K268" s="31">
        <f t="shared" si="289"/>
        <v>121820.6612</v>
      </c>
      <c r="L268" s="31">
        <f t="shared" si="290"/>
        <v>5101.367722</v>
      </c>
      <c r="M268" s="31">
        <f t="shared" si="291"/>
        <v>13785.02922</v>
      </c>
      <c r="N268" s="31">
        <f t="shared" si="292"/>
        <v>1519.073944</v>
      </c>
      <c r="O268" s="31">
        <f t="shared" si="293"/>
        <v>5056.022231</v>
      </c>
      <c r="P268" s="31">
        <f t="shared" si="294"/>
        <v>2766.074943</v>
      </c>
      <c r="Q268" s="31">
        <f t="shared" si="295"/>
        <v>90.69098173</v>
      </c>
      <c r="R268" s="31" t="str">
        <f t="shared" si="296"/>
        <v/>
      </c>
      <c r="S268" s="31" t="str">
        <f t="shared" si="297"/>
        <v/>
      </c>
      <c r="T268" s="31" t="str">
        <f t="shared" si="298"/>
        <v/>
      </c>
      <c r="U268" s="31" t="str">
        <f t="shared" si="299"/>
        <v/>
      </c>
      <c r="V268" s="31" t="str">
        <f t="shared" si="300"/>
        <v/>
      </c>
      <c r="W268" s="47">
        <f t="shared" si="301"/>
        <v>226772.7998</v>
      </c>
    </row>
    <row r="269" ht="15.75" customHeight="1">
      <c r="A269" s="46">
        <f t="shared" si="279"/>
        <v>2038</v>
      </c>
      <c r="B269" s="47">
        <f t="shared" si="280"/>
        <v>231202.5978</v>
      </c>
      <c r="C269" s="31">
        <f t="shared" si="281"/>
        <v>38718.6914</v>
      </c>
      <c r="D269" s="31">
        <f t="shared" si="282"/>
        <v>6888.459723</v>
      </c>
      <c r="E269" s="31">
        <f t="shared" si="283"/>
        <v>2496.488759</v>
      </c>
      <c r="F269" s="31">
        <f t="shared" si="284"/>
        <v>22422.16756</v>
      </c>
      <c r="G269" s="31">
        <f t="shared" si="285"/>
        <v>4854.283698</v>
      </c>
      <c r="H269" s="31">
        <f t="shared" si="286"/>
        <v>1641.210203</v>
      </c>
      <c r="I269" s="31">
        <f t="shared" si="287"/>
        <v>1017.088013</v>
      </c>
      <c r="J269" s="31">
        <f t="shared" si="288"/>
        <v>92.46254662</v>
      </c>
      <c r="K269" s="31">
        <f t="shared" si="289"/>
        <v>124200.3157</v>
      </c>
      <c r="L269" s="31">
        <f t="shared" si="290"/>
        <v>5201.018247</v>
      </c>
      <c r="M269" s="31">
        <f t="shared" si="291"/>
        <v>14054.30709</v>
      </c>
      <c r="N269" s="31">
        <f t="shared" si="292"/>
        <v>1548.747656</v>
      </c>
      <c r="O269" s="31">
        <f t="shared" si="293"/>
        <v>5154.786974</v>
      </c>
      <c r="P269" s="31">
        <f t="shared" si="294"/>
        <v>2820.107672</v>
      </c>
      <c r="Q269" s="31">
        <f t="shared" si="295"/>
        <v>92.46254662</v>
      </c>
      <c r="R269" s="31" t="str">
        <f t="shared" si="296"/>
        <v/>
      </c>
      <c r="S269" s="31" t="str">
        <f t="shared" si="297"/>
        <v/>
      </c>
      <c r="T269" s="31" t="str">
        <f t="shared" si="298"/>
        <v/>
      </c>
      <c r="U269" s="31" t="str">
        <f t="shared" si="299"/>
        <v/>
      </c>
      <c r="V269" s="31" t="str">
        <f t="shared" si="300"/>
        <v/>
      </c>
      <c r="W269" s="47">
        <f t="shared" si="301"/>
        <v>231202.5978</v>
      </c>
    </row>
    <row r="270" ht="15.75" customHeight="1">
      <c r="A270" s="46">
        <f t="shared" si="279"/>
        <v>2039</v>
      </c>
      <c r="B270" s="47">
        <f t="shared" si="280"/>
        <v>235718.9279</v>
      </c>
      <c r="C270" s="31">
        <f t="shared" si="281"/>
        <v>39475.02541</v>
      </c>
      <c r="D270" s="31">
        <f t="shared" si="282"/>
        <v>7023.019447</v>
      </c>
      <c r="E270" s="31">
        <f t="shared" si="283"/>
        <v>2545.25537</v>
      </c>
      <c r="F270" s="31">
        <f t="shared" si="284"/>
        <v>22860.16397</v>
      </c>
      <c r="G270" s="31">
        <f t="shared" si="285"/>
        <v>4949.107664</v>
      </c>
      <c r="H270" s="31">
        <f t="shared" si="286"/>
        <v>1673.269734</v>
      </c>
      <c r="I270" s="31">
        <f t="shared" si="287"/>
        <v>1036.955891</v>
      </c>
      <c r="J270" s="31">
        <f t="shared" si="288"/>
        <v>94.26871741</v>
      </c>
      <c r="K270" s="31">
        <f t="shared" si="289"/>
        <v>126626.4547</v>
      </c>
      <c r="L270" s="31">
        <f t="shared" si="290"/>
        <v>5302.615354</v>
      </c>
      <c r="M270" s="31">
        <f t="shared" si="291"/>
        <v>14328.84505</v>
      </c>
      <c r="N270" s="31">
        <f t="shared" si="292"/>
        <v>1579.001017</v>
      </c>
      <c r="O270" s="31">
        <f t="shared" si="293"/>
        <v>5255.480995</v>
      </c>
      <c r="P270" s="31">
        <f t="shared" si="294"/>
        <v>2875.195881</v>
      </c>
      <c r="Q270" s="31">
        <f t="shared" si="295"/>
        <v>94.26871741</v>
      </c>
      <c r="R270" s="31" t="str">
        <f t="shared" si="296"/>
        <v/>
      </c>
      <c r="S270" s="31" t="str">
        <f t="shared" si="297"/>
        <v/>
      </c>
      <c r="T270" s="31" t="str">
        <f t="shared" si="298"/>
        <v/>
      </c>
      <c r="U270" s="31" t="str">
        <f t="shared" si="299"/>
        <v/>
      </c>
      <c r="V270" s="31" t="str">
        <f t="shared" si="300"/>
        <v/>
      </c>
      <c r="W270" s="47">
        <f t="shared" si="301"/>
        <v>235718.9279</v>
      </c>
    </row>
    <row r="271" ht="15.75" customHeight="1">
      <c r="A271" s="46">
        <f t="shared" si="279"/>
        <v>2040</v>
      </c>
      <c r="B271" s="47">
        <f t="shared" si="280"/>
        <v>240323.4803</v>
      </c>
      <c r="C271" s="31">
        <f t="shared" si="281"/>
        <v>40246.13372</v>
      </c>
      <c r="D271" s="31">
        <f t="shared" si="282"/>
        <v>7160.207671</v>
      </c>
      <c r="E271" s="31">
        <f t="shared" si="283"/>
        <v>2594.974592</v>
      </c>
      <c r="F271" s="31">
        <f t="shared" si="284"/>
        <v>23306.71624</v>
      </c>
      <c r="G271" s="31">
        <f t="shared" si="285"/>
        <v>5045.783929</v>
      </c>
      <c r="H271" s="31">
        <f t="shared" si="286"/>
        <v>1705.955519</v>
      </c>
      <c r="I271" s="31">
        <f t="shared" si="287"/>
        <v>1057.211871</v>
      </c>
      <c r="J271" s="31">
        <f t="shared" si="288"/>
        <v>96.11017008</v>
      </c>
      <c r="K271" s="31">
        <f t="shared" si="289"/>
        <v>129099.986</v>
      </c>
      <c r="L271" s="31">
        <f t="shared" si="290"/>
        <v>5406.197067</v>
      </c>
      <c r="M271" s="31">
        <f t="shared" si="291"/>
        <v>14608.74585</v>
      </c>
      <c r="N271" s="31">
        <f t="shared" si="292"/>
        <v>1609.845349</v>
      </c>
      <c r="O271" s="31">
        <f t="shared" si="293"/>
        <v>5358.141982</v>
      </c>
      <c r="P271" s="31">
        <f t="shared" si="294"/>
        <v>2931.360187</v>
      </c>
      <c r="Q271" s="31">
        <f t="shared" si="295"/>
        <v>96.11017008</v>
      </c>
      <c r="R271" s="31" t="str">
        <f t="shared" si="296"/>
        <v/>
      </c>
      <c r="S271" s="31" t="str">
        <f t="shared" si="297"/>
        <v/>
      </c>
      <c r="T271" s="31" t="str">
        <f t="shared" si="298"/>
        <v/>
      </c>
      <c r="U271" s="31" t="str">
        <f t="shared" si="299"/>
        <v/>
      </c>
      <c r="V271" s="31" t="str">
        <f t="shared" si="300"/>
        <v/>
      </c>
      <c r="W271" s="47">
        <f t="shared" si="301"/>
        <v>240323.4803</v>
      </c>
    </row>
    <row r="272" ht="15.75" customHeight="1">
      <c r="A272" s="46">
        <f t="shared" si="279"/>
        <v>2041</v>
      </c>
      <c r="B272" s="47">
        <f t="shared" si="280"/>
        <v>245017.9784</v>
      </c>
      <c r="C272" s="31">
        <f t="shared" si="281"/>
        <v>41032.30492</v>
      </c>
      <c r="D272" s="31">
        <f t="shared" si="282"/>
        <v>7300.07574</v>
      </c>
      <c r="E272" s="31">
        <f t="shared" si="283"/>
        <v>2645.665033</v>
      </c>
      <c r="F272" s="31">
        <f t="shared" si="284"/>
        <v>23761.9915</v>
      </c>
      <c r="G272" s="31">
        <f t="shared" si="285"/>
        <v>5144.348676</v>
      </c>
      <c r="H272" s="31">
        <f t="shared" si="286"/>
        <v>1739.27979</v>
      </c>
      <c r="I272" s="31">
        <f t="shared" si="287"/>
        <v>1077.863532</v>
      </c>
      <c r="J272" s="31">
        <f t="shared" si="288"/>
        <v>97.98759383</v>
      </c>
      <c r="K272" s="31">
        <f t="shared" si="289"/>
        <v>131621.8354</v>
      </c>
      <c r="L272" s="31">
        <f t="shared" si="290"/>
        <v>5511.802153</v>
      </c>
      <c r="M272" s="31">
        <f t="shared" si="291"/>
        <v>14894.11426</v>
      </c>
      <c r="N272" s="31">
        <f t="shared" si="292"/>
        <v>1641.292197</v>
      </c>
      <c r="O272" s="31">
        <f t="shared" si="293"/>
        <v>5462.808356</v>
      </c>
      <c r="P272" s="31">
        <f t="shared" si="294"/>
        <v>2988.621612</v>
      </c>
      <c r="Q272" s="31">
        <f t="shared" si="295"/>
        <v>97.98759383</v>
      </c>
      <c r="R272" s="31" t="str">
        <f t="shared" si="296"/>
        <v/>
      </c>
      <c r="S272" s="31" t="str">
        <f t="shared" si="297"/>
        <v/>
      </c>
      <c r="T272" s="31" t="str">
        <f t="shared" si="298"/>
        <v/>
      </c>
      <c r="U272" s="31" t="str">
        <f t="shared" si="299"/>
        <v/>
      </c>
      <c r="V272" s="31" t="str">
        <f t="shared" si="300"/>
        <v/>
      </c>
      <c r="W272" s="47">
        <f t="shared" si="301"/>
        <v>245017.9784</v>
      </c>
    </row>
    <row r="273" ht="15.75" customHeight="1">
      <c r="A273" s="46">
        <f t="shared" si="279"/>
        <v>2042</v>
      </c>
      <c r="B273" s="47">
        <f t="shared" si="280"/>
        <v>249804.1792</v>
      </c>
      <c r="C273" s="31">
        <f t="shared" si="281"/>
        <v>41833.83324</v>
      </c>
      <c r="D273" s="31">
        <f t="shared" si="282"/>
        <v>7442.676004</v>
      </c>
      <c r="E273" s="31">
        <f t="shared" si="283"/>
        <v>2697.345666</v>
      </c>
      <c r="F273" s="31">
        <f t="shared" si="284"/>
        <v>24226.16015</v>
      </c>
      <c r="G273" s="31">
        <f t="shared" si="285"/>
        <v>5244.838795</v>
      </c>
      <c r="H273" s="31">
        <f t="shared" si="286"/>
        <v>1773.255021</v>
      </c>
      <c r="I273" s="31">
        <f t="shared" si="287"/>
        <v>1098.918605</v>
      </c>
      <c r="J273" s="31">
        <f t="shared" si="288"/>
        <v>99.90169133</v>
      </c>
      <c r="K273" s="31">
        <f t="shared" si="289"/>
        <v>134192.9469</v>
      </c>
      <c r="L273" s="31">
        <f t="shared" si="290"/>
        <v>5619.470137</v>
      </c>
      <c r="M273" s="31">
        <f t="shared" si="291"/>
        <v>15185.05708</v>
      </c>
      <c r="N273" s="31">
        <f t="shared" si="292"/>
        <v>1673.35333</v>
      </c>
      <c r="O273" s="31">
        <f t="shared" si="293"/>
        <v>5569.519292</v>
      </c>
      <c r="P273" s="31">
        <f t="shared" si="294"/>
        <v>3047.001585</v>
      </c>
      <c r="Q273" s="31">
        <f t="shared" si="295"/>
        <v>99.90169133</v>
      </c>
      <c r="R273" s="31" t="str">
        <f t="shared" si="296"/>
        <v/>
      </c>
      <c r="S273" s="31" t="str">
        <f t="shared" si="297"/>
        <v/>
      </c>
      <c r="T273" s="31" t="str">
        <f t="shared" si="298"/>
        <v/>
      </c>
      <c r="U273" s="31" t="str">
        <f t="shared" si="299"/>
        <v/>
      </c>
      <c r="V273" s="31" t="str">
        <f t="shared" si="300"/>
        <v/>
      </c>
      <c r="W273" s="47">
        <f t="shared" si="301"/>
        <v>249804.1792</v>
      </c>
    </row>
    <row r="274" ht="15.75" customHeight="1">
      <c r="A274" s="46">
        <f t="shared" si="279"/>
        <v>2043</v>
      </c>
      <c r="B274" s="47">
        <f t="shared" si="280"/>
        <v>254683.874</v>
      </c>
      <c r="C274" s="31">
        <f t="shared" si="281"/>
        <v>42651.01869</v>
      </c>
      <c r="D274" s="31">
        <f t="shared" si="282"/>
        <v>7588.061833</v>
      </c>
      <c r="E274" s="31">
        <f t="shared" si="283"/>
        <v>2750.035832</v>
      </c>
      <c r="F274" s="31">
        <f t="shared" si="284"/>
        <v>24699.3959</v>
      </c>
      <c r="G274" s="31">
        <f t="shared" si="285"/>
        <v>5347.291895</v>
      </c>
      <c r="H274" s="31">
        <f t="shared" si="286"/>
        <v>1807.893927</v>
      </c>
      <c r="I274" s="31">
        <f t="shared" si="287"/>
        <v>1120.384969</v>
      </c>
      <c r="J274" s="31">
        <f t="shared" si="288"/>
        <v>101.853179</v>
      </c>
      <c r="K274" s="31">
        <f t="shared" si="289"/>
        <v>136814.2826</v>
      </c>
      <c r="L274" s="31">
        <f t="shared" si="290"/>
        <v>5729.241317</v>
      </c>
      <c r="M274" s="31">
        <f t="shared" si="291"/>
        <v>15481.6832</v>
      </c>
      <c r="N274" s="31">
        <f t="shared" si="292"/>
        <v>1706.040748</v>
      </c>
      <c r="O274" s="31">
        <f t="shared" si="293"/>
        <v>5678.314727</v>
      </c>
      <c r="P274" s="31">
        <f t="shared" si="294"/>
        <v>3106.521958</v>
      </c>
      <c r="Q274" s="31">
        <f t="shared" si="295"/>
        <v>101.853179</v>
      </c>
      <c r="R274" s="31" t="str">
        <f t="shared" si="296"/>
        <v/>
      </c>
      <c r="S274" s="31" t="str">
        <f t="shared" si="297"/>
        <v/>
      </c>
      <c r="T274" s="31" t="str">
        <f t="shared" si="298"/>
        <v/>
      </c>
      <c r="U274" s="31" t="str">
        <f t="shared" si="299"/>
        <v/>
      </c>
      <c r="V274" s="31" t="str">
        <f t="shared" si="300"/>
        <v/>
      </c>
      <c r="W274" s="47">
        <f t="shared" si="301"/>
        <v>254683.874</v>
      </c>
    </row>
    <row r="275" ht="15.75" customHeight="1">
      <c r="A275" s="46">
        <f t="shared" si="279"/>
        <v>2044</v>
      </c>
      <c r="B275" s="47">
        <f t="shared" si="280"/>
        <v>259658.8892</v>
      </c>
      <c r="C275" s="31">
        <f t="shared" si="281"/>
        <v>43484.1671</v>
      </c>
      <c r="D275" s="31">
        <f t="shared" si="282"/>
        <v>7736.28764</v>
      </c>
      <c r="E275" s="31">
        <f t="shared" si="283"/>
        <v>2803.755252</v>
      </c>
      <c r="F275" s="31">
        <f t="shared" si="284"/>
        <v>25181.87587</v>
      </c>
      <c r="G275" s="31">
        <f t="shared" si="285"/>
        <v>5451.746323</v>
      </c>
      <c r="H275" s="31">
        <f t="shared" si="286"/>
        <v>1843.209471</v>
      </c>
      <c r="I275" s="31">
        <f t="shared" si="287"/>
        <v>1142.270658</v>
      </c>
      <c r="J275" s="31">
        <f t="shared" si="288"/>
        <v>103.8427871</v>
      </c>
      <c r="K275" s="31">
        <f t="shared" si="289"/>
        <v>139486.8238</v>
      </c>
      <c r="L275" s="31">
        <f t="shared" si="290"/>
        <v>5841.156775</v>
      </c>
      <c r="M275" s="31">
        <f t="shared" si="291"/>
        <v>15784.10364</v>
      </c>
      <c r="N275" s="31">
        <f t="shared" si="292"/>
        <v>1739.366684</v>
      </c>
      <c r="O275" s="31">
        <f t="shared" si="293"/>
        <v>5789.235381</v>
      </c>
      <c r="P275" s="31">
        <f t="shared" si="294"/>
        <v>3167.205007</v>
      </c>
      <c r="Q275" s="31">
        <f t="shared" si="295"/>
        <v>103.8427871</v>
      </c>
      <c r="R275" s="31" t="str">
        <f t="shared" si="296"/>
        <v/>
      </c>
      <c r="S275" s="31" t="str">
        <f t="shared" si="297"/>
        <v/>
      </c>
      <c r="T275" s="31" t="str">
        <f t="shared" si="298"/>
        <v/>
      </c>
      <c r="U275" s="31" t="str">
        <f t="shared" si="299"/>
        <v/>
      </c>
      <c r="V275" s="31" t="str">
        <f t="shared" si="300"/>
        <v/>
      </c>
      <c r="W275" s="47">
        <f t="shared" si="301"/>
        <v>259658.8892</v>
      </c>
    </row>
    <row r="276" ht="15.75" customHeight="1">
      <c r="A276" s="46">
        <f t="shared" si="279"/>
        <v>2045</v>
      </c>
      <c r="B276" s="47">
        <f t="shared" si="280"/>
        <v>264731.0867</v>
      </c>
      <c r="C276" s="31">
        <f t="shared" si="281"/>
        <v>44333.5903</v>
      </c>
      <c r="D276" s="31">
        <f t="shared" si="282"/>
        <v>7887.408901</v>
      </c>
      <c r="E276" s="31">
        <f t="shared" si="283"/>
        <v>2858.524031</v>
      </c>
      <c r="F276" s="31">
        <f t="shared" si="284"/>
        <v>25673.78065</v>
      </c>
      <c r="G276" s="31">
        <f t="shared" si="285"/>
        <v>5558.241172</v>
      </c>
      <c r="H276" s="31">
        <f t="shared" si="286"/>
        <v>1879.214872</v>
      </c>
      <c r="I276" s="31">
        <f t="shared" si="287"/>
        <v>1164.583865</v>
      </c>
      <c r="J276" s="31">
        <f t="shared" si="288"/>
        <v>105.8712604</v>
      </c>
      <c r="K276" s="31">
        <f t="shared" si="289"/>
        <v>142211.5706</v>
      </c>
      <c r="L276" s="31">
        <f t="shared" si="290"/>
        <v>5955.258399</v>
      </c>
      <c r="M276" s="31">
        <f t="shared" si="291"/>
        <v>16092.43158</v>
      </c>
      <c r="N276" s="31">
        <f t="shared" si="292"/>
        <v>1773.343612</v>
      </c>
      <c r="O276" s="31">
        <f t="shared" si="293"/>
        <v>5902.322769</v>
      </c>
      <c r="P276" s="31">
        <f t="shared" si="294"/>
        <v>3229.073443</v>
      </c>
      <c r="Q276" s="31">
        <f t="shared" si="295"/>
        <v>105.8712604</v>
      </c>
      <c r="R276" s="31" t="str">
        <f t="shared" si="296"/>
        <v/>
      </c>
      <c r="S276" s="31" t="str">
        <f t="shared" si="297"/>
        <v/>
      </c>
      <c r="T276" s="31" t="str">
        <f t="shared" si="298"/>
        <v/>
      </c>
      <c r="U276" s="31" t="str">
        <f t="shared" si="299"/>
        <v/>
      </c>
      <c r="V276" s="31" t="str">
        <f t="shared" si="300"/>
        <v/>
      </c>
      <c r="W276" s="47">
        <f t="shared" si="301"/>
        <v>264731.0867</v>
      </c>
    </row>
    <row r="277" ht="15.75" customHeight="1">
      <c r="A277" s="46">
        <f t="shared" si="279"/>
        <v>2046</v>
      </c>
      <c r="B277" s="47">
        <f t="shared" si="280"/>
        <v>269902.3649</v>
      </c>
      <c r="C277" s="31">
        <f t="shared" si="281"/>
        <v>45199.6062</v>
      </c>
      <c r="D277" s="31">
        <f t="shared" si="282"/>
        <v>8041.482178</v>
      </c>
      <c r="E277" s="31">
        <f t="shared" si="283"/>
        <v>2914.362669</v>
      </c>
      <c r="F277" s="31">
        <f t="shared" si="284"/>
        <v>26175.29434</v>
      </c>
      <c r="G277" s="31">
        <f t="shared" si="285"/>
        <v>5666.8163</v>
      </c>
      <c r="H277" s="31">
        <f t="shared" si="286"/>
        <v>1915.923606</v>
      </c>
      <c r="I277" s="31">
        <f t="shared" si="287"/>
        <v>1187.332939</v>
      </c>
      <c r="J277" s="31">
        <f t="shared" si="288"/>
        <v>107.9393581</v>
      </c>
      <c r="K277" s="31">
        <f t="shared" si="289"/>
        <v>144989.5428</v>
      </c>
      <c r="L277" s="31">
        <f t="shared" si="290"/>
        <v>6071.588893</v>
      </c>
      <c r="M277" s="31">
        <f t="shared" si="291"/>
        <v>16406.78243</v>
      </c>
      <c r="N277" s="31">
        <f t="shared" si="292"/>
        <v>1807.984248</v>
      </c>
      <c r="O277" s="31">
        <f t="shared" si="293"/>
        <v>6017.619214</v>
      </c>
      <c r="P277" s="31">
        <f t="shared" si="294"/>
        <v>3292.150422</v>
      </c>
      <c r="Q277" s="31">
        <f t="shared" si="295"/>
        <v>107.9393581</v>
      </c>
      <c r="R277" s="31" t="str">
        <f t="shared" si="296"/>
        <v/>
      </c>
      <c r="S277" s="31" t="str">
        <f t="shared" si="297"/>
        <v/>
      </c>
      <c r="T277" s="31" t="str">
        <f t="shared" si="298"/>
        <v/>
      </c>
      <c r="U277" s="31" t="str">
        <f t="shared" si="299"/>
        <v/>
      </c>
      <c r="V277" s="31" t="str">
        <f t="shared" si="300"/>
        <v/>
      </c>
      <c r="W277" s="47">
        <f t="shared" si="301"/>
        <v>269902.3649</v>
      </c>
    </row>
    <row r="278" ht="15.75" customHeight="1">
      <c r="A278" s="46">
        <f t="shared" si="279"/>
        <v>2047</v>
      </c>
      <c r="B278" s="47">
        <f t="shared" si="280"/>
        <v>275174.6593</v>
      </c>
      <c r="C278" s="31">
        <f t="shared" si="281"/>
        <v>46082.53893</v>
      </c>
      <c r="D278" s="31">
        <f t="shared" si="282"/>
        <v>8198.565134</v>
      </c>
      <c r="E278" s="31">
        <f t="shared" si="283"/>
        <v>2971.292062</v>
      </c>
      <c r="F278" s="31">
        <f t="shared" si="284"/>
        <v>26686.60463</v>
      </c>
      <c r="G278" s="31">
        <f t="shared" si="285"/>
        <v>5777.512343</v>
      </c>
      <c r="H278" s="31">
        <f t="shared" si="286"/>
        <v>1953.349411</v>
      </c>
      <c r="I278" s="31">
        <f t="shared" si="287"/>
        <v>1210.526396</v>
      </c>
      <c r="J278" s="31">
        <f t="shared" si="288"/>
        <v>110.0478542</v>
      </c>
      <c r="K278" s="31">
        <f t="shared" si="289"/>
        <v>147821.7801</v>
      </c>
      <c r="L278" s="31">
        <f t="shared" si="290"/>
        <v>6190.191796</v>
      </c>
      <c r="M278" s="31">
        <f t="shared" si="291"/>
        <v>16727.27383</v>
      </c>
      <c r="N278" s="31">
        <f t="shared" si="292"/>
        <v>1843.301557</v>
      </c>
      <c r="O278" s="31">
        <f t="shared" si="293"/>
        <v>6135.167869</v>
      </c>
      <c r="P278" s="31">
        <f t="shared" si="294"/>
        <v>3356.459552</v>
      </c>
      <c r="Q278" s="31">
        <f t="shared" si="295"/>
        <v>110.0478542</v>
      </c>
      <c r="R278" s="31" t="str">
        <f t="shared" si="296"/>
        <v/>
      </c>
      <c r="S278" s="31" t="str">
        <f t="shared" si="297"/>
        <v/>
      </c>
      <c r="T278" s="31" t="str">
        <f t="shared" si="298"/>
        <v/>
      </c>
      <c r="U278" s="31" t="str">
        <f t="shared" si="299"/>
        <v/>
      </c>
      <c r="V278" s="31" t="str">
        <f t="shared" si="300"/>
        <v/>
      </c>
      <c r="W278" s="47">
        <f t="shared" si="301"/>
        <v>275174.6593</v>
      </c>
    </row>
    <row r="279" ht="15.75" customHeight="1">
      <c r="A279" s="46">
        <f t="shared" si="279"/>
        <v>2048</v>
      </c>
      <c r="B279" s="47">
        <f t="shared" si="280"/>
        <v>280549.9431</v>
      </c>
      <c r="C279" s="31">
        <f t="shared" si="281"/>
        <v>46982.71893</v>
      </c>
      <c r="D279" s="31">
        <f t="shared" si="282"/>
        <v>8358.716562</v>
      </c>
      <c r="E279" s="31">
        <f t="shared" si="283"/>
        <v>3029.333519</v>
      </c>
      <c r="F279" s="31">
        <f t="shared" si="284"/>
        <v>27207.9029</v>
      </c>
      <c r="G279" s="31">
        <f t="shared" si="285"/>
        <v>5890.370731</v>
      </c>
      <c r="H279" s="31">
        <f t="shared" si="286"/>
        <v>1991.506295</v>
      </c>
      <c r="I279" s="31">
        <f t="shared" si="287"/>
        <v>1234.172915</v>
      </c>
      <c r="J279" s="31">
        <f t="shared" si="288"/>
        <v>112.1975377</v>
      </c>
      <c r="K279" s="31">
        <f t="shared" si="289"/>
        <v>150709.3426</v>
      </c>
      <c r="L279" s="31">
        <f t="shared" si="290"/>
        <v>6311.111498</v>
      </c>
      <c r="M279" s="31">
        <f t="shared" si="291"/>
        <v>17054.02574</v>
      </c>
      <c r="N279" s="31">
        <f t="shared" si="292"/>
        <v>1879.308757</v>
      </c>
      <c r="O279" s="31">
        <f t="shared" si="293"/>
        <v>6255.012729</v>
      </c>
      <c r="P279" s="31">
        <f t="shared" si="294"/>
        <v>3422.024901</v>
      </c>
      <c r="Q279" s="31">
        <f t="shared" si="295"/>
        <v>112.1975377</v>
      </c>
      <c r="R279" s="31" t="str">
        <f t="shared" si="296"/>
        <v/>
      </c>
      <c r="S279" s="31" t="str">
        <f t="shared" si="297"/>
        <v/>
      </c>
      <c r="T279" s="31" t="str">
        <f t="shared" si="298"/>
        <v/>
      </c>
      <c r="U279" s="31" t="str">
        <f t="shared" si="299"/>
        <v/>
      </c>
      <c r="V279" s="31" t="str">
        <f t="shared" si="300"/>
        <v/>
      </c>
      <c r="W279" s="47">
        <f t="shared" si="301"/>
        <v>280549.9431</v>
      </c>
    </row>
    <row r="280" ht="15.75" customHeight="1">
      <c r="A280" s="46">
        <f t="shared" si="279"/>
        <v>2049</v>
      </c>
      <c r="B280" s="47">
        <f t="shared" si="280"/>
        <v>286030.2282</v>
      </c>
      <c r="C280" s="31">
        <f t="shared" si="281"/>
        <v>47900.48312</v>
      </c>
      <c r="D280" s="31">
        <f t="shared" si="282"/>
        <v>8521.9964</v>
      </c>
      <c r="E280" s="31">
        <f t="shared" si="283"/>
        <v>3088.508762</v>
      </c>
      <c r="F280" s="31">
        <f t="shared" si="284"/>
        <v>27739.38426</v>
      </c>
      <c r="G280" s="31">
        <f t="shared" si="285"/>
        <v>6005.433705</v>
      </c>
      <c r="H280" s="31">
        <f t="shared" si="286"/>
        <v>2030.408538</v>
      </c>
      <c r="I280" s="31">
        <f t="shared" si="287"/>
        <v>1258.281348</v>
      </c>
      <c r="J280" s="31">
        <f t="shared" si="288"/>
        <v>114.3892134</v>
      </c>
      <c r="K280" s="31">
        <f t="shared" si="289"/>
        <v>153653.3109</v>
      </c>
      <c r="L280" s="31">
        <f t="shared" si="290"/>
        <v>6434.393255</v>
      </c>
      <c r="M280" s="31">
        <f t="shared" si="291"/>
        <v>17387.16044</v>
      </c>
      <c r="N280" s="31">
        <f t="shared" si="292"/>
        <v>1916.019325</v>
      </c>
      <c r="O280" s="31">
        <f t="shared" si="293"/>
        <v>6377.198648</v>
      </c>
      <c r="P280" s="31">
        <f t="shared" si="294"/>
        <v>3488.871009</v>
      </c>
      <c r="Q280" s="31">
        <f t="shared" si="295"/>
        <v>114.3892134</v>
      </c>
      <c r="R280" s="31" t="str">
        <f t="shared" si="296"/>
        <v/>
      </c>
      <c r="S280" s="31" t="str">
        <f t="shared" si="297"/>
        <v/>
      </c>
      <c r="T280" s="31" t="str">
        <f t="shared" si="298"/>
        <v/>
      </c>
      <c r="U280" s="31" t="str">
        <f t="shared" si="299"/>
        <v/>
      </c>
      <c r="V280" s="31" t="str">
        <f t="shared" si="300"/>
        <v/>
      </c>
      <c r="W280" s="47">
        <f t="shared" si="301"/>
        <v>286030.2282</v>
      </c>
    </row>
    <row r="281" ht="15.75" customHeight="1">
      <c r="A281" s="46">
        <f t="shared" si="279"/>
        <v>2050</v>
      </c>
      <c r="B281" s="47">
        <f t="shared" si="280"/>
        <v>291617.5655</v>
      </c>
      <c r="C281" s="31">
        <f t="shared" si="281"/>
        <v>48836.17499</v>
      </c>
      <c r="D281" s="31">
        <f t="shared" si="282"/>
        <v>8688.46576</v>
      </c>
      <c r="E281" s="31">
        <f t="shared" si="283"/>
        <v>3148.83994</v>
      </c>
      <c r="F281" s="31">
        <f t="shared" si="284"/>
        <v>28281.24761</v>
      </c>
      <c r="G281" s="31">
        <f t="shared" si="285"/>
        <v>6122.744327</v>
      </c>
      <c r="H281" s="31">
        <f t="shared" si="286"/>
        <v>2070.070701</v>
      </c>
      <c r="I281" s="31">
        <f t="shared" si="287"/>
        <v>1282.860716</v>
      </c>
      <c r="J281" s="31">
        <f t="shared" si="288"/>
        <v>116.6237015</v>
      </c>
      <c r="K281" s="31">
        <f t="shared" si="289"/>
        <v>156654.787</v>
      </c>
      <c r="L281" s="31">
        <f t="shared" si="290"/>
        <v>6560.083208</v>
      </c>
      <c r="M281" s="31">
        <f t="shared" si="291"/>
        <v>17726.80262</v>
      </c>
      <c r="N281" s="31">
        <f t="shared" si="292"/>
        <v>1953.447</v>
      </c>
      <c r="O281" s="31">
        <f t="shared" si="293"/>
        <v>6501.771357</v>
      </c>
      <c r="P281" s="31">
        <f t="shared" si="294"/>
        <v>3557.022895</v>
      </c>
      <c r="Q281" s="31">
        <f t="shared" si="295"/>
        <v>116.6237015</v>
      </c>
      <c r="R281" s="31" t="str">
        <f t="shared" si="296"/>
        <v/>
      </c>
      <c r="S281" s="31" t="str">
        <f t="shared" si="297"/>
        <v/>
      </c>
      <c r="T281" s="31" t="str">
        <f t="shared" si="298"/>
        <v/>
      </c>
      <c r="U281" s="31" t="str">
        <f t="shared" si="299"/>
        <v/>
      </c>
      <c r="V281" s="31" t="str">
        <f t="shared" si="300"/>
        <v/>
      </c>
      <c r="W281" s="47">
        <f t="shared" si="301"/>
        <v>291617.5655</v>
      </c>
    </row>
    <row r="282" ht="15.75" customHeight="1">
      <c r="A282" s="46">
        <f t="shared" si="279"/>
        <v>2051</v>
      </c>
      <c r="B282" s="47">
        <f t="shared" si="280"/>
        <v>297314.0464</v>
      </c>
      <c r="C282" s="31">
        <f t="shared" si="281"/>
        <v>49790.14474</v>
      </c>
      <c r="D282" s="31">
        <f t="shared" si="282"/>
        <v>8858.186945</v>
      </c>
      <c r="E282" s="31">
        <f t="shared" si="283"/>
        <v>3210.349631</v>
      </c>
      <c r="F282" s="31">
        <f t="shared" si="284"/>
        <v>28833.69576</v>
      </c>
      <c r="G282" s="31">
        <f t="shared" si="285"/>
        <v>6242.346505</v>
      </c>
      <c r="H282" s="31">
        <f t="shared" si="286"/>
        <v>2110.507628</v>
      </c>
      <c r="I282" s="31">
        <f t="shared" si="287"/>
        <v>1307.92022</v>
      </c>
      <c r="J282" s="31">
        <f t="shared" si="288"/>
        <v>118.9018382</v>
      </c>
      <c r="K282" s="31">
        <f t="shared" si="289"/>
        <v>159714.8941</v>
      </c>
      <c r="L282" s="31">
        <f t="shared" si="290"/>
        <v>6688.228398</v>
      </c>
      <c r="M282" s="31">
        <f t="shared" si="291"/>
        <v>18073.0794</v>
      </c>
      <c r="N282" s="31">
        <f t="shared" si="292"/>
        <v>1991.60579</v>
      </c>
      <c r="O282" s="31">
        <f t="shared" si="293"/>
        <v>6628.777479</v>
      </c>
      <c r="P282" s="31">
        <f t="shared" si="294"/>
        <v>3626.506065</v>
      </c>
      <c r="Q282" s="31">
        <f t="shared" si="295"/>
        <v>118.9018382</v>
      </c>
      <c r="R282" s="31" t="str">
        <f t="shared" si="296"/>
        <v/>
      </c>
      <c r="S282" s="31" t="str">
        <f t="shared" si="297"/>
        <v/>
      </c>
      <c r="T282" s="31" t="str">
        <f t="shared" si="298"/>
        <v/>
      </c>
      <c r="U282" s="31" t="str">
        <f t="shared" si="299"/>
        <v/>
      </c>
      <c r="V282" s="31" t="str">
        <f t="shared" si="300"/>
        <v/>
      </c>
      <c r="W282" s="47">
        <f t="shared" si="301"/>
        <v>297314.0464</v>
      </c>
    </row>
    <row r="283" ht="15.75" customHeight="1">
      <c r="A283" s="46">
        <f t="shared" si="279"/>
        <v>2052</v>
      </c>
      <c r="B283" s="47">
        <f t="shared" si="280"/>
        <v>303121.8028</v>
      </c>
      <c r="C283" s="31">
        <f t="shared" si="281"/>
        <v>50762.74941</v>
      </c>
      <c r="D283" s="31">
        <f t="shared" si="282"/>
        <v>9031.223478</v>
      </c>
      <c r="E283" s="31">
        <f t="shared" si="283"/>
        <v>3273.060858</v>
      </c>
      <c r="F283" s="31">
        <f t="shared" si="284"/>
        <v>29396.93548</v>
      </c>
      <c r="G283" s="31">
        <f t="shared" si="285"/>
        <v>6364.285001</v>
      </c>
      <c r="H283" s="31">
        <f t="shared" si="286"/>
        <v>2151.734453</v>
      </c>
      <c r="I283" s="31">
        <f t="shared" si="287"/>
        <v>1333.469238</v>
      </c>
      <c r="J283" s="31">
        <f t="shared" si="288"/>
        <v>121.2244762</v>
      </c>
      <c r="K283" s="31">
        <f t="shared" si="289"/>
        <v>162834.7777</v>
      </c>
      <c r="L283" s="31">
        <f t="shared" si="290"/>
        <v>6818.876787</v>
      </c>
      <c r="M283" s="31">
        <f t="shared" si="291"/>
        <v>18426.12038</v>
      </c>
      <c r="N283" s="31">
        <f t="shared" si="292"/>
        <v>2030.509977</v>
      </c>
      <c r="O283" s="31">
        <f t="shared" si="293"/>
        <v>6758.264549</v>
      </c>
      <c r="P283" s="31">
        <f t="shared" si="294"/>
        <v>3697.346524</v>
      </c>
      <c r="Q283" s="31">
        <f t="shared" si="295"/>
        <v>121.2244762</v>
      </c>
      <c r="R283" s="31" t="str">
        <f t="shared" si="296"/>
        <v/>
      </c>
      <c r="S283" s="31" t="str">
        <f t="shared" si="297"/>
        <v/>
      </c>
      <c r="T283" s="31" t="str">
        <f t="shared" si="298"/>
        <v/>
      </c>
      <c r="U283" s="31" t="str">
        <f t="shared" si="299"/>
        <v/>
      </c>
      <c r="V283" s="31" t="str">
        <f t="shared" si="300"/>
        <v/>
      </c>
      <c r="W283" s="47">
        <f t="shared" si="301"/>
        <v>303121.8028</v>
      </c>
    </row>
    <row r="284" ht="15.75" customHeight="1">
      <c r="A284" s="46">
        <f t="shared" si="279"/>
        <v>2053</v>
      </c>
      <c r="B284" s="47">
        <f t="shared" si="280"/>
        <v>309043.0083</v>
      </c>
      <c r="C284" s="31">
        <f t="shared" si="281"/>
        <v>51754.35302</v>
      </c>
      <c r="D284" s="31">
        <f t="shared" si="282"/>
        <v>9207.64012</v>
      </c>
      <c r="E284" s="31">
        <f t="shared" si="283"/>
        <v>3336.99709</v>
      </c>
      <c r="F284" s="31">
        <f t="shared" si="284"/>
        <v>29971.17757</v>
      </c>
      <c r="G284" s="31">
        <f t="shared" si="285"/>
        <v>6488.605454</v>
      </c>
      <c r="H284" s="31">
        <f t="shared" si="286"/>
        <v>2193.766606</v>
      </c>
      <c r="I284" s="31">
        <f t="shared" si="287"/>
        <v>1359.517333</v>
      </c>
      <c r="J284" s="31">
        <f t="shared" si="288"/>
        <v>123.5924848</v>
      </c>
      <c r="K284" s="31">
        <f t="shared" si="289"/>
        <v>166015.6052</v>
      </c>
      <c r="L284" s="31">
        <f t="shared" si="290"/>
        <v>6952.077272</v>
      </c>
      <c r="M284" s="31">
        <f t="shared" si="291"/>
        <v>18786.05769</v>
      </c>
      <c r="N284" s="31">
        <f t="shared" si="292"/>
        <v>2070.174121</v>
      </c>
      <c r="O284" s="31">
        <f t="shared" si="293"/>
        <v>6890.281029</v>
      </c>
      <c r="P284" s="31">
        <f t="shared" si="294"/>
        <v>3769.570787</v>
      </c>
      <c r="Q284" s="31">
        <f t="shared" si="295"/>
        <v>123.5924848</v>
      </c>
      <c r="R284" s="31" t="str">
        <f t="shared" si="296"/>
        <v/>
      </c>
      <c r="S284" s="31" t="str">
        <f t="shared" si="297"/>
        <v/>
      </c>
      <c r="T284" s="31" t="str">
        <f t="shared" si="298"/>
        <v/>
      </c>
      <c r="U284" s="31" t="str">
        <f t="shared" si="299"/>
        <v/>
      </c>
      <c r="V284" s="31" t="str">
        <f t="shared" si="300"/>
        <v/>
      </c>
      <c r="W284" s="47">
        <f t="shared" si="301"/>
        <v>309043.0083</v>
      </c>
    </row>
    <row r="285" ht="15.75" customHeight="1">
      <c r="A285" s="46">
        <f t="shared" si="279"/>
        <v>2054</v>
      </c>
      <c r="B285" s="47">
        <f t="shared" si="280"/>
        <v>315079.8792</v>
      </c>
      <c r="C285" s="31">
        <f t="shared" si="281"/>
        <v>52765.3267</v>
      </c>
      <c r="D285" s="31">
        <f t="shared" si="282"/>
        <v>9387.502899</v>
      </c>
      <c r="E285" s="31">
        <f t="shared" si="283"/>
        <v>3402.182259</v>
      </c>
      <c r="F285" s="31">
        <f t="shared" si="284"/>
        <v>30556.63695</v>
      </c>
      <c r="G285" s="31">
        <f t="shared" si="285"/>
        <v>6615.354392</v>
      </c>
      <c r="H285" s="31">
        <f t="shared" si="286"/>
        <v>2236.619818</v>
      </c>
      <c r="I285" s="31">
        <f t="shared" si="287"/>
        <v>1386.074253</v>
      </c>
      <c r="J285" s="31">
        <f t="shared" si="288"/>
        <v>126.0067503</v>
      </c>
      <c r="K285" s="31">
        <f t="shared" si="289"/>
        <v>169258.5674</v>
      </c>
      <c r="L285" s="31">
        <f t="shared" si="290"/>
        <v>7087.879705</v>
      </c>
      <c r="M285" s="31">
        <f t="shared" si="291"/>
        <v>19153.02605</v>
      </c>
      <c r="N285" s="31">
        <f t="shared" si="292"/>
        <v>2110.613068</v>
      </c>
      <c r="O285" s="31">
        <f t="shared" si="293"/>
        <v>7024.87633</v>
      </c>
      <c r="P285" s="31">
        <f t="shared" si="294"/>
        <v>3843.205885</v>
      </c>
      <c r="Q285" s="31">
        <f t="shared" si="295"/>
        <v>126.0067503</v>
      </c>
      <c r="R285" s="31" t="str">
        <f t="shared" si="296"/>
        <v/>
      </c>
      <c r="S285" s="31" t="str">
        <f t="shared" si="297"/>
        <v/>
      </c>
      <c r="T285" s="31" t="str">
        <f t="shared" si="298"/>
        <v/>
      </c>
      <c r="U285" s="31" t="str">
        <f t="shared" si="299"/>
        <v/>
      </c>
      <c r="V285" s="31" t="str">
        <f t="shared" si="300"/>
        <v/>
      </c>
      <c r="W285" s="47">
        <f t="shared" si="301"/>
        <v>315079.8792</v>
      </c>
    </row>
    <row r="286" ht="15.75" customHeight="1">
      <c r="A286" s="50" t="str">
        <f>"Total "&amp;$A$56&amp;"–"&amp;$A$80&amp;" (t)"</f>
        <v>Total 2030–2054 (t)</v>
      </c>
      <c r="B286" s="52">
        <f>SUM(B261:B285)</f>
        <v>6306050.967</v>
      </c>
      <c r="C286" s="52">
        <f t="shared" ref="C286:V286" si="302">IF(C$260="","",SUM(C261:C285))</f>
        <v>1056052.327</v>
      </c>
      <c r="D286" s="52">
        <f t="shared" si="302"/>
        <v>187882.7423</v>
      </c>
      <c r="E286" s="52">
        <f t="shared" si="302"/>
        <v>68091.7321</v>
      </c>
      <c r="F286" s="52">
        <f t="shared" si="302"/>
        <v>611564.6309</v>
      </c>
      <c r="G286" s="52">
        <f t="shared" si="302"/>
        <v>132400.5902</v>
      </c>
      <c r="H286" s="52">
        <f t="shared" si="302"/>
        <v>44764.00906</v>
      </c>
      <c r="I286" s="52">
        <f t="shared" si="302"/>
        <v>27741.07604</v>
      </c>
      <c r="J286" s="52">
        <f t="shared" si="302"/>
        <v>2521.916004</v>
      </c>
      <c r="K286" s="52">
        <f t="shared" si="302"/>
        <v>3387563.672</v>
      </c>
      <c r="L286" s="52">
        <f t="shared" si="302"/>
        <v>141857.7752</v>
      </c>
      <c r="M286" s="52">
        <f t="shared" si="302"/>
        <v>383331.2326</v>
      </c>
      <c r="N286" s="52">
        <f t="shared" si="302"/>
        <v>42242.09306</v>
      </c>
      <c r="O286" s="52">
        <f t="shared" si="302"/>
        <v>140596.8172</v>
      </c>
      <c r="P286" s="52">
        <f t="shared" si="302"/>
        <v>76918.43811</v>
      </c>
      <c r="Q286" s="52">
        <f t="shared" si="302"/>
        <v>2521.916004</v>
      </c>
      <c r="R286" s="52" t="str">
        <f t="shared" si="302"/>
        <v/>
      </c>
      <c r="S286" s="52" t="str">
        <f t="shared" si="302"/>
        <v/>
      </c>
      <c r="T286" s="52" t="str">
        <f t="shared" si="302"/>
        <v/>
      </c>
      <c r="U286" s="52" t="str">
        <f t="shared" si="302"/>
        <v/>
      </c>
      <c r="V286" s="52" t="str">
        <f t="shared" si="302"/>
        <v/>
      </c>
      <c r="W286" s="52">
        <f>SUM(W261:W285)</f>
        <v>6306050.967</v>
      </c>
    </row>
    <row r="287" ht="15.75" customHeight="1"/>
    <row r="288" ht="15.75" customHeight="1">
      <c r="A288" s="65" t="s">
        <v>91</v>
      </c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3"/>
      <c r="X288" s="45"/>
      <c r="Y288" s="45"/>
      <c r="Z288" s="45"/>
    </row>
    <row r="289" ht="43.5" customHeight="1">
      <c r="A289" s="44" t="s">
        <v>31</v>
      </c>
      <c r="B289" s="44" t="s">
        <v>89</v>
      </c>
      <c r="C289" s="44" t="str">
        <f>IF($A$87="","",$A$87)</f>
        <v>Paper &amp; cardboard</v>
      </c>
      <c r="D289" s="44" t="str">
        <f>IF($A$88="","",$A$88)</f>
        <v>Glass</v>
      </c>
      <c r="E289" s="44" t="str">
        <f>IF($A$89="","",$A$89)</f>
        <v>PET</v>
      </c>
      <c r="F289" s="44" t="str">
        <f>IF($A$90="","",$A$90)</f>
        <v>Plastic bags</v>
      </c>
      <c r="G289" s="44" t="str">
        <f>IF($A$91="","",$A$91)</f>
        <v>Plastic</v>
      </c>
      <c r="H289" s="44" t="str">
        <f>IF($A$92="","",$A$92)</f>
        <v>Ferrous metal</v>
      </c>
      <c r="I289" s="44" t="str">
        <f>IF($A$93="","",$A$93)</f>
        <v>Aluminum</v>
      </c>
      <c r="J289" s="44" t="str">
        <f>IF($A$94="","",$A$94)</f>
        <v>Other metals</v>
      </c>
      <c r="K289" s="44" t="str">
        <f>IF($A$95="","",$A$95)</f>
        <v>Organic matter</v>
      </c>
      <c r="L289" s="44" t="str">
        <f>IF($A$96="","",$A$96)</f>
        <v>Textile</v>
      </c>
      <c r="M289" s="44" t="str">
        <f>IF($A$97="","",$A$97)</f>
        <v>Diapers</v>
      </c>
      <c r="N289" s="44" t="str">
        <f>IF($A$98="","",$A$98)</f>
        <v>Tetra Pak</v>
      </c>
      <c r="O289" s="44" t="str">
        <f>IF($A$99="","",$A$99)</f>
        <v>Other combustible</v>
      </c>
      <c r="P289" s="44" t="str">
        <f>IF($A$100="","",$A$100)</f>
        <v>Other non-combustible</v>
      </c>
      <c r="Q289" s="44" t="str">
        <f>IF($A$101="","",$A$101)</f>
        <v>Electrical/electronic waste</v>
      </c>
      <c r="R289" s="44" t="str">
        <f>IF($A$102="","",$A$102)</f>
        <v/>
      </c>
      <c r="S289" s="44" t="str">
        <f>IF($A$103="","",$A$103)</f>
        <v/>
      </c>
      <c r="T289" s="44" t="str">
        <f>IF($A$104="","",$A$104)</f>
        <v/>
      </c>
      <c r="U289" s="44" t="str">
        <f>IF($A$105="","",$A$105)</f>
        <v/>
      </c>
      <c r="V289" s="44" t="str">
        <f>IF($A$106="","",$A$106)</f>
        <v/>
      </c>
      <c r="W289" s="44" t="s">
        <v>90</v>
      </c>
      <c r="X289" s="45"/>
      <c r="Y289" s="45"/>
      <c r="Z289" s="45"/>
    </row>
    <row r="290" ht="15.75" customHeight="1">
      <c r="A290" s="46">
        <f t="shared" ref="A290:A314" si="303">A56</f>
        <v>2030</v>
      </c>
      <c r="B290" s="47">
        <f t="shared" ref="B290:B314" si="304">S56</f>
        <v>791186.1985</v>
      </c>
      <c r="C290" s="31">
        <f t="shared" ref="C290:C314" si="305">IF(C$289="","",$B290*$D$87/100)</f>
        <v>132497.1888</v>
      </c>
      <c r="D290" s="31">
        <f t="shared" ref="D290:D314" si="306">IF(D$289="","",$B290*$D$88/100)</f>
        <v>23572.63419</v>
      </c>
      <c r="E290" s="31">
        <f t="shared" ref="E290:E314" si="307">IF(E$289="","",$B290*$D$89/100)</f>
        <v>8543.102324</v>
      </c>
      <c r="F290" s="31">
        <f t="shared" ref="F290:F314" si="308">IF(F$289="","",$B290*$D$90/100)</f>
        <v>76729.71532</v>
      </c>
      <c r="G290" s="31">
        <f t="shared" ref="G290:G314" si="309">IF(G$289="","",$B290*$D$91/100)</f>
        <v>16611.58785</v>
      </c>
      <c r="H290" s="31">
        <f t="shared" ref="H290:H314" si="310">IF(H$289="","",$B290*$D$92/100)</f>
        <v>5616.29875</v>
      </c>
      <c r="I290" s="31">
        <f t="shared" ref="I290:I314" si="311">IF(I$289="","",$B290*$D$93/100)</f>
        <v>3480.523169</v>
      </c>
      <c r="J290" s="31">
        <f t="shared" ref="J290:J314" si="312">IF(J$289="","",$B290*$D$94/100)</f>
        <v>316.4111972</v>
      </c>
      <c r="K290" s="31">
        <f t="shared" ref="K290:K314" si="313">IF(K$289="","",$B290*$D$95/100)</f>
        <v>425019.3406</v>
      </c>
      <c r="L290" s="31">
        <f t="shared" ref="L290:L314" si="314">IF(L$289="","",$B290*$D$96/100)</f>
        <v>17798.12984</v>
      </c>
      <c r="M290" s="31">
        <f t="shared" ref="M290:M314" si="315">IF(M$289="","",$B290*$D$97/100)</f>
        <v>48094.50197</v>
      </c>
      <c r="N290" s="31">
        <f t="shared" ref="N290:N314" si="316">IF(N$289="","",$B290*$D$98/100)</f>
        <v>5299.887553</v>
      </c>
      <c r="O290" s="31">
        <f t="shared" ref="O290:O314" si="317">IF(O$289="","",$B290*$D$99/100)</f>
        <v>17639.92424</v>
      </c>
      <c r="P290" s="31">
        <f t="shared" ref="P290:P314" si="318">IF(P$289="","",$B290*$D$100/100)</f>
        <v>9650.541514</v>
      </c>
      <c r="Q290" s="31">
        <f t="shared" ref="Q290:Q314" si="319">IF(Q$289="","",$B290*$D$101/100)</f>
        <v>316.4111972</v>
      </c>
      <c r="R290" s="31" t="str">
        <f t="shared" ref="R290:R314" si="320">IF(R$289="","",$B290*$D$102/100)</f>
        <v/>
      </c>
      <c r="S290" s="31" t="str">
        <f t="shared" ref="S290:S314" si="321">IF(S$289="","",$B290*$D$103/100)</f>
        <v/>
      </c>
      <c r="T290" s="31" t="str">
        <f t="shared" ref="T290:T314" si="322">IF(T$289="","",$B290*$D$104/100)</f>
        <v/>
      </c>
      <c r="U290" s="31" t="str">
        <f t="shared" ref="U290:U314" si="323">IF(U$289="","",$B290*$D$105/100)</f>
        <v/>
      </c>
      <c r="V290" s="31" t="str">
        <f t="shared" ref="V290:V314" si="324">IF(V$289="","",$B290*$D$106/100)</f>
        <v/>
      </c>
      <c r="W290" s="47">
        <f t="shared" ref="W290:W314" si="325">SUM(C290:V290)</f>
        <v>791186.1985</v>
      </c>
    </row>
    <row r="291" ht="15.75" customHeight="1">
      <c r="A291" s="46">
        <f t="shared" si="303"/>
        <v>2031</v>
      </c>
      <c r="B291" s="47">
        <f t="shared" si="304"/>
        <v>807796.7689</v>
      </c>
      <c r="C291" s="31">
        <f t="shared" si="305"/>
        <v>135278.903</v>
      </c>
      <c r="D291" s="31">
        <f t="shared" si="306"/>
        <v>24067.53021</v>
      </c>
      <c r="E291" s="31">
        <f t="shared" si="307"/>
        <v>8722.460611</v>
      </c>
      <c r="F291" s="31">
        <f t="shared" si="308"/>
        <v>78340.61846</v>
      </c>
      <c r="G291" s="31">
        <f t="shared" si="309"/>
        <v>16960.34008</v>
      </c>
      <c r="H291" s="31">
        <f t="shared" si="310"/>
        <v>5734.210217</v>
      </c>
      <c r="I291" s="31">
        <f t="shared" si="311"/>
        <v>3553.595064</v>
      </c>
      <c r="J291" s="31">
        <f t="shared" si="312"/>
        <v>323.0540967</v>
      </c>
      <c r="K291" s="31">
        <f t="shared" si="313"/>
        <v>433942.4154</v>
      </c>
      <c r="L291" s="31">
        <f t="shared" si="314"/>
        <v>18171.79294</v>
      </c>
      <c r="M291" s="31">
        <f t="shared" si="315"/>
        <v>49104.2227</v>
      </c>
      <c r="N291" s="31">
        <f t="shared" si="316"/>
        <v>5411.15612</v>
      </c>
      <c r="O291" s="31">
        <f t="shared" si="317"/>
        <v>18010.26589</v>
      </c>
      <c r="P291" s="31">
        <f t="shared" si="318"/>
        <v>9853.14995</v>
      </c>
      <c r="Q291" s="31">
        <f t="shared" si="319"/>
        <v>323.0540967</v>
      </c>
      <c r="R291" s="31" t="str">
        <f t="shared" si="320"/>
        <v/>
      </c>
      <c r="S291" s="31" t="str">
        <f t="shared" si="321"/>
        <v/>
      </c>
      <c r="T291" s="31" t="str">
        <f t="shared" si="322"/>
        <v/>
      </c>
      <c r="U291" s="31" t="str">
        <f t="shared" si="323"/>
        <v/>
      </c>
      <c r="V291" s="31" t="str">
        <f t="shared" si="324"/>
        <v/>
      </c>
      <c r="W291" s="47">
        <f t="shared" si="325"/>
        <v>807796.7689</v>
      </c>
    </row>
    <row r="292" ht="15.75" customHeight="1">
      <c r="A292" s="46">
        <f t="shared" si="303"/>
        <v>2032</v>
      </c>
      <c r="B292" s="47">
        <f t="shared" si="304"/>
        <v>824639.6295</v>
      </c>
      <c r="C292" s="31">
        <f t="shared" si="305"/>
        <v>138099.518</v>
      </c>
      <c r="D292" s="31">
        <f t="shared" si="306"/>
        <v>24569.34709</v>
      </c>
      <c r="E292" s="31">
        <f t="shared" si="307"/>
        <v>8904.327133</v>
      </c>
      <c r="F292" s="31">
        <f t="shared" si="308"/>
        <v>79974.04925</v>
      </c>
      <c r="G292" s="31">
        <f t="shared" si="309"/>
        <v>17313.96942</v>
      </c>
      <c r="H292" s="31">
        <f t="shared" si="310"/>
        <v>5853.770615</v>
      </c>
      <c r="I292" s="31">
        <f t="shared" si="311"/>
        <v>3627.688832</v>
      </c>
      <c r="J292" s="31">
        <f t="shared" si="312"/>
        <v>329.7898938</v>
      </c>
      <c r="K292" s="31">
        <f t="shared" si="313"/>
        <v>442990.2749</v>
      </c>
      <c r="L292" s="31">
        <f t="shared" si="314"/>
        <v>18550.68153</v>
      </c>
      <c r="M292" s="31">
        <f t="shared" si="315"/>
        <v>50128.06386</v>
      </c>
      <c r="N292" s="31">
        <f t="shared" si="316"/>
        <v>5523.980721</v>
      </c>
      <c r="O292" s="31">
        <f t="shared" si="317"/>
        <v>18385.78658</v>
      </c>
      <c r="P292" s="31">
        <f t="shared" si="318"/>
        <v>10058.59176</v>
      </c>
      <c r="Q292" s="31">
        <f t="shared" si="319"/>
        <v>329.7898938</v>
      </c>
      <c r="R292" s="31" t="str">
        <f t="shared" si="320"/>
        <v/>
      </c>
      <c r="S292" s="31" t="str">
        <f t="shared" si="321"/>
        <v/>
      </c>
      <c r="T292" s="31" t="str">
        <f t="shared" si="322"/>
        <v/>
      </c>
      <c r="U292" s="31" t="str">
        <f t="shared" si="323"/>
        <v/>
      </c>
      <c r="V292" s="31" t="str">
        <f t="shared" si="324"/>
        <v/>
      </c>
      <c r="W292" s="47">
        <f t="shared" si="325"/>
        <v>824639.6295</v>
      </c>
    </row>
    <row r="293" ht="15.75" customHeight="1">
      <c r="A293" s="46">
        <f t="shared" si="303"/>
        <v>2033</v>
      </c>
      <c r="B293" s="47">
        <f t="shared" si="304"/>
        <v>841720.9488</v>
      </c>
      <c r="C293" s="31">
        <f t="shared" si="305"/>
        <v>140960.0669</v>
      </c>
      <c r="D293" s="31">
        <f t="shared" si="306"/>
        <v>25078.26862</v>
      </c>
      <c r="E293" s="31">
        <f t="shared" si="307"/>
        <v>9088.768493</v>
      </c>
      <c r="F293" s="31">
        <f t="shared" si="308"/>
        <v>81630.60591</v>
      </c>
      <c r="G293" s="31">
        <f t="shared" si="309"/>
        <v>17672.6054</v>
      </c>
      <c r="H293" s="31">
        <f t="shared" si="310"/>
        <v>5975.023732</v>
      </c>
      <c r="I293" s="31">
        <f t="shared" si="311"/>
        <v>3702.831608</v>
      </c>
      <c r="J293" s="31">
        <f t="shared" si="312"/>
        <v>336.6210553</v>
      </c>
      <c r="K293" s="31">
        <f t="shared" si="313"/>
        <v>452166.2325</v>
      </c>
      <c r="L293" s="31">
        <f t="shared" si="314"/>
        <v>18934.93436</v>
      </c>
      <c r="M293" s="31">
        <f t="shared" si="315"/>
        <v>51166.40041</v>
      </c>
      <c r="N293" s="31">
        <f t="shared" si="316"/>
        <v>5638.402676</v>
      </c>
      <c r="O293" s="31">
        <f t="shared" si="317"/>
        <v>18766.62383</v>
      </c>
      <c r="P293" s="31">
        <f t="shared" si="318"/>
        <v>10266.94219</v>
      </c>
      <c r="Q293" s="31">
        <f t="shared" si="319"/>
        <v>336.6210553</v>
      </c>
      <c r="R293" s="31" t="str">
        <f t="shared" si="320"/>
        <v/>
      </c>
      <c r="S293" s="31" t="str">
        <f t="shared" si="321"/>
        <v/>
      </c>
      <c r="T293" s="31" t="str">
        <f t="shared" si="322"/>
        <v/>
      </c>
      <c r="U293" s="31" t="str">
        <f t="shared" si="323"/>
        <v/>
      </c>
      <c r="V293" s="31" t="str">
        <f t="shared" si="324"/>
        <v/>
      </c>
      <c r="W293" s="47">
        <f t="shared" si="325"/>
        <v>841720.9488</v>
      </c>
    </row>
    <row r="294" ht="15.75" customHeight="1">
      <c r="A294" s="46">
        <f t="shared" si="303"/>
        <v>2034</v>
      </c>
      <c r="B294" s="47">
        <f t="shared" si="304"/>
        <v>859047.0648</v>
      </c>
      <c r="C294" s="31">
        <f t="shared" si="305"/>
        <v>143861.611</v>
      </c>
      <c r="D294" s="31">
        <f t="shared" si="306"/>
        <v>25594.48363</v>
      </c>
      <c r="E294" s="31">
        <f t="shared" si="307"/>
        <v>9275.853129</v>
      </c>
      <c r="F294" s="31">
        <f t="shared" si="308"/>
        <v>83310.90311</v>
      </c>
      <c r="G294" s="31">
        <f t="shared" si="309"/>
        <v>18036.38108</v>
      </c>
      <c r="H294" s="31">
        <f t="shared" si="310"/>
        <v>6098.014557</v>
      </c>
      <c r="I294" s="31">
        <f t="shared" si="311"/>
        <v>3779.051275</v>
      </c>
      <c r="J294" s="31">
        <f t="shared" si="312"/>
        <v>343.5501159</v>
      </c>
      <c r="K294" s="31">
        <f t="shared" si="313"/>
        <v>461473.6932</v>
      </c>
      <c r="L294" s="31">
        <f t="shared" si="314"/>
        <v>19324.69402</v>
      </c>
      <c r="M294" s="31">
        <f t="shared" si="315"/>
        <v>52219.61762</v>
      </c>
      <c r="N294" s="31">
        <f t="shared" si="316"/>
        <v>5754.464441</v>
      </c>
      <c r="O294" s="31">
        <f t="shared" si="317"/>
        <v>19152.91896</v>
      </c>
      <c r="P294" s="31">
        <f t="shared" si="318"/>
        <v>10478.27853</v>
      </c>
      <c r="Q294" s="31">
        <f t="shared" si="319"/>
        <v>343.5501159</v>
      </c>
      <c r="R294" s="31" t="str">
        <f t="shared" si="320"/>
        <v/>
      </c>
      <c r="S294" s="31" t="str">
        <f t="shared" si="321"/>
        <v/>
      </c>
      <c r="T294" s="31" t="str">
        <f t="shared" si="322"/>
        <v/>
      </c>
      <c r="U294" s="31" t="str">
        <f t="shared" si="323"/>
        <v/>
      </c>
      <c r="V294" s="31" t="str">
        <f t="shared" si="324"/>
        <v/>
      </c>
      <c r="W294" s="47">
        <f t="shared" si="325"/>
        <v>859047.0648</v>
      </c>
    </row>
    <row r="295" ht="15.75" customHeight="1">
      <c r="A295" s="46">
        <f t="shared" si="303"/>
        <v>2035</v>
      </c>
      <c r="B295" s="47">
        <f t="shared" si="304"/>
        <v>876624.49</v>
      </c>
      <c r="C295" s="31">
        <f t="shared" si="305"/>
        <v>146805.241</v>
      </c>
      <c r="D295" s="31">
        <f t="shared" si="306"/>
        <v>26118.18616</v>
      </c>
      <c r="E295" s="31">
        <f t="shared" si="307"/>
        <v>9465.651362</v>
      </c>
      <c r="F295" s="31">
        <f t="shared" si="308"/>
        <v>85015.57241</v>
      </c>
      <c r="G295" s="31">
        <f t="shared" si="309"/>
        <v>18405.4332</v>
      </c>
      <c r="H295" s="31">
        <f t="shared" si="310"/>
        <v>6222.789321</v>
      </c>
      <c r="I295" s="31">
        <f t="shared" si="311"/>
        <v>3856.376481</v>
      </c>
      <c r="J295" s="31">
        <f t="shared" si="312"/>
        <v>350.5796801</v>
      </c>
      <c r="K295" s="31">
        <f t="shared" si="313"/>
        <v>470916.1552</v>
      </c>
      <c r="L295" s="31">
        <f t="shared" si="314"/>
        <v>19720.107</v>
      </c>
      <c r="M295" s="31">
        <f t="shared" si="315"/>
        <v>53288.11137</v>
      </c>
      <c r="N295" s="31">
        <f t="shared" si="316"/>
        <v>5872.209641</v>
      </c>
      <c r="O295" s="31">
        <f t="shared" si="317"/>
        <v>19544.81716</v>
      </c>
      <c r="P295" s="31">
        <f t="shared" si="318"/>
        <v>10692.68024</v>
      </c>
      <c r="Q295" s="31">
        <f t="shared" si="319"/>
        <v>350.5796801</v>
      </c>
      <c r="R295" s="31" t="str">
        <f t="shared" si="320"/>
        <v/>
      </c>
      <c r="S295" s="31" t="str">
        <f t="shared" si="321"/>
        <v/>
      </c>
      <c r="T295" s="31" t="str">
        <f t="shared" si="322"/>
        <v/>
      </c>
      <c r="U295" s="31" t="str">
        <f t="shared" si="323"/>
        <v/>
      </c>
      <c r="V295" s="31" t="str">
        <f t="shared" si="324"/>
        <v/>
      </c>
      <c r="W295" s="47">
        <f t="shared" si="325"/>
        <v>876624.49</v>
      </c>
    </row>
    <row r="296" ht="15.75" customHeight="1">
      <c r="A296" s="46">
        <f t="shared" si="303"/>
        <v>2036</v>
      </c>
      <c r="B296" s="47">
        <f t="shared" si="304"/>
        <v>894459.9161</v>
      </c>
      <c r="C296" s="31">
        <f t="shared" si="305"/>
        <v>149792.0775</v>
      </c>
      <c r="D296" s="31">
        <f t="shared" si="306"/>
        <v>26649.57558</v>
      </c>
      <c r="E296" s="31">
        <f t="shared" si="307"/>
        <v>9658.235447</v>
      </c>
      <c r="F296" s="31">
        <f t="shared" si="308"/>
        <v>86745.26281</v>
      </c>
      <c r="G296" s="31">
        <f t="shared" si="309"/>
        <v>18779.90226</v>
      </c>
      <c r="H296" s="31">
        <f t="shared" si="310"/>
        <v>6349.395525</v>
      </c>
      <c r="I296" s="31">
        <f t="shared" si="311"/>
        <v>3934.836663</v>
      </c>
      <c r="J296" s="31">
        <f t="shared" si="312"/>
        <v>357.7124239</v>
      </c>
      <c r="K296" s="31">
        <f t="shared" si="313"/>
        <v>480497.2135</v>
      </c>
      <c r="L296" s="31">
        <f t="shared" si="314"/>
        <v>20121.32385</v>
      </c>
      <c r="M296" s="31">
        <f t="shared" si="315"/>
        <v>54372.28844</v>
      </c>
      <c r="N296" s="31">
        <f t="shared" si="316"/>
        <v>5991.683101</v>
      </c>
      <c r="O296" s="31">
        <f t="shared" si="317"/>
        <v>19942.46763</v>
      </c>
      <c r="P296" s="31">
        <f t="shared" si="318"/>
        <v>10910.22893</v>
      </c>
      <c r="Q296" s="31">
        <f t="shared" si="319"/>
        <v>357.7124239</v>
      </c>
      <c r="R296" s="31" t="str">
        <f t="shared" si="320"/>
        <v/>
      </c>
      <c r="S296" s="31" t="str">
        <f t="shared" si="321"/>
        <v/>
      </c>
      <c r="T296" s="31" t="str">
        <f t="shared" si="322"/>
        <v/>
      </c>
      <c r="U296" s="31" t="str">
        <f t="shared" si="323"/>
        <v/>
      </c>
      <c r="V296" s="31" t="str">
        <f t="shared" si="324"/>
        <v/>
      </c>
      <c r="W296" s="47">
        <f t="shared" si="325"/>
        <v>894459.9161</v>
      </c>
    </row>
    <row r="297" ht="15.75" customHeight="1">
      <c r="A297" s="46">
        <f t="shared" si="303"/>
        <v>2037</v>
      </c>
      <c r="B297" s="47">
        <f t="shared" si="304"/>
        <v>912560.2192</v>
      </c>
      <c r="C297" s="31">
        <f t="shared" si="305"/>
        <v>152823.2721</v>
      </c>
      <c r="D297" s="31">
        <f t="shared" si="306"/>
        <v>27188.85676</v>
      </c>
      <c r="E297" s="31">
        <f t="shared" si="307"/>
        <v>9853.679631</v>
      </c>
      <c r="F297" s="31">
        <f t="shared" si="308"/>
        <v>88500.64113</v>
      </c>
      <c r="G297" s="31">
        <f t="shared" si="309"/>
        <v>19159.93262</v>
      </c>
      <c r="H297" s="31">
        <f t="shared" si="310"/>
        <v>6477.88198</v>
      </c>
      <c r="I297" s="31">
        <f t="shared" si="311"/>
        <v>4014.462072</v>
      </c>
      <c r="J297" s="31">
        <f t="shared" si="312"/>
        <v>364.9510975</v>
      </c>
      <c r="K297" s="31">
        <f t="shared" si="313"/>
        <v>490220.5617</v>
      </c>
      <c r="L297" s="31">
        <f t="shared" si="314"/>
        <v>20528.49923</v>
      </c>
      <c r="M297" s="31">
        <f t="shared" si="315"/>
        <v>55472.56681</v>
      </c>
      <c r="N297" s="31">
        <f t="shared" si="316"/>
        <v>6112.930882</v>
      </c>
      <c r="O297" s="31">
        <f t="shared" si="317"/>
        <v>20346.02368</v>
      </c>
      <c r="P297" s="31">
        <f t="shared" si="318"/>
        <v>11131.00847</v>
      </c>
      <c r="Q297" s="31">
        <f t="shared" si="319"/>
        <v>364.9510975</v>
      </c>
      <c r="R297" s="31" t="str">
        <f t="shared" si="320"/>
        <v/>
      </c>
      <c r="S297" s="31" t="str">
        <f t="shared" si="321"/>
        <v/>
      </c>
      <c r="T297" s="31" t="str">
        <f t="shared" si="322"/>
        <v/>
      </c>
      <c r="U297" s="31" t="str">
        <f t="shared" si="323"/>
        <v/>
      </c>
      <c r="V297" s="31" t="str">
        <f t="shared" si="324"/>
        <v/>
      </c>
      <c r="W297" s="47">
        <f t="shared" si="325"/>
        <v>912560.2192</v>
      </c>
    </row>
    <row r="298" ht="15.75" customHeight="1">
      <c r="A298" s="46">
        <f t="shared" si="303"/>
        <v>2038</v>
      </c>
      <c r="B298" s="47">
        <f t="shared" si="304"/>
        <v>930932.4651</v>
      </c>
      <c r="C298" s="31">
        <f t="shared" si="305"/>
        <v>155900.0079</v>
      </c>
      <c r="D298" s="31">
        <f t="shared" si="306"/>
        <v>27736.24021</v>
      </c>
      <c r="E298" s="31">
        <f t="shared" si="307"/>
        <v>10052.06021</v>
      </c>
      <c r="F298" s="31">
        <f t="shared" si="308"/>
        <v>90282.39264</v>
      </c>
      <c r="G298" s="31">
        <f t="shared" si="309"/>
        <v>19545.67263</v>
      </c>
      <c r="H298" s="31">
        <f t="shared" si="310"/>
        <v>6608.298843</v>
      </c>
      <c r="I298" s="31">
        <f t="shared" si="311"/>
        <v>4095.28379</v>
      </c>
      <c r="J298" s="31">
        <f t="shared" si="312"/>
        <v>372.2985263</v>
      </c>
      <c r="K298" s="31">
        <f t="shared" si="313"/>
        <v>500089.9955</v>
      </c>
      <c r="L298" s="31">
        <f t="shared" si="314"/>
        <v>20941.79211</v>
      </c>
      <c r="M298" s="31">
        <f t="shared" si="315"/>
        <v>56589.376</v>
      </c>
      <c r="N298" s="31">
        <f t="shared" si="316"/>
        <v>6236.000316</v>
      </c>
      <c r="O298" s="31">
        <f t="shared" si="317"/>
        <v>20755.64284</v>
      </c>
      <c r="P298" s="31">
        <f t="shared" si="318"/>
        <v>11355.10505</v>
      </c>
      <c r="Q298" s="31">
        <f t="shared" si="319"/>
        <v>372.2985263</v>
      </c>
      <c r="R298" s="31" t="str">
        <f t="shared" si="320"/>
        <v/>
      </c>
      <c r="S298" s="31" t="str">
        <f t="shared" si="321"/>
        <v/>
      </c>
      <c r="T298" s="31" t="str">
        <f t="shared" si="322"/>
        <v/>
      </c>
      <c r="U298" s="31" t="str">
        <f t="shared" si="323"/>
        <v/>
      </c>
      <c r="V298" s="31" t="str">
        <f t="shared" si="324"/>
        <v/>
      </c>
      <c r="W298" s="47">
        <f t="shared" si="325"/>
        <v>930932.4651</v>
      </c>
    </row>
    <row r="299" ht="15.75" customHeight="1">
      <c r="A299" s="46">
        <f t="shared" si="303"/>
        <v>2039</v>
      </c>
      <c r="B299" s="47">
        <f t="shared" si="304"/>
        <v>949583.9146</v>
      </c>
      <c r="C299" s="31">
        <f t="shared" si="305"/>
        <v>159023.501</v>
      </c>
      <c r="D299" s="31">
        <f t="shared" si="306"/>
        <v>28291.94227</v>
      </c>
      <c r="E299" s="31">
        <f t="shared" si="307"/>
        <v>10253.45559</v>
      </c>
      <c r="F299" s="31">
        <f t="shared" si="308"/>
        <v>92091.22147</v>
      </c>
      <c r="G299" s="31">
        <f t="shared" si="309"/>
        <v>19937.27475</v>
      </c>
      <c r="H299" s="31">
        <f t="shared" si="310"/>
        <v>6740.697654</v>
      </c>
      <c r="I299" s="31">
        <f t="shared" si="311"/>
        <v>4177.333757</v>
      </c>
      <c r="J299" s="31">
        <f t="shared" si="312"/>
        <v>379.7576143</v>
      </c>
      <c r="K299" s="31">
        <f t="shared" si="313"/>
        <v>510109.4154</v>
      </c>
      <c r="L299" s="31">
        <f t="shared" si="314"/>
        <v>21361.3658</v>
      </c>
      <c r="M299" s="31">
        <f t="shared" si="315"/>
        <v>57723.15737</v>
      </c>
      <c r="N299" s="31">
        <f t="shared" si="316"/>
        <v>6360.94004</v>
      </c>
      <c r="O299" s="31">
        <f t="shared" si="317"/>
        <v>21171.487</v>
      </c>
      <c r="P299" s="31">
        <f t="shared" si="318"/>
        <v>11582.60724</v>
      </c>
      <c r="Q299" s="31">
        <f t="shared" si="319"/>
        <v>379.7576143</v>
      </c>
      <c r="R299" s="31" t="str">
        <f t="shared" si="320"/>
        <v/>
      </c>
      <c r="S299" s="31" t="str">
        <f t="shared" si="321"/>
        <v/>
      </c>
      <c r="T299" s="31" t="str">
        <f t="shared" si="322"/>
        <v/>
      </c>
      <c r="U299" s="31" t="str">
        <f t="shared" si="323"/>
        <v/>
      </c>
      <c r="V299" s="31" t="str">
        <f t="shared" si="324"/>
        <v/>
      </c>
      <c r="W299" s="47">
        <f t="shared" si="325"/>
        <v>949583.9146</v>
      </c>
    </row>
    <row r="300" ht="15.75" customHeight="1">
      <c r="A300" s="46">
        <f t="shared" si="303"/>
        <v>2040</v>
      </c>
      <c r="B300" s="47">
        <f t="shared" si="304"/>
        <v>968522.0288</v>
      </c>
      <c r="C300" s="31">
        <f t="shared" si="305"/>
        <v>162195.0008</v>
      </c>
      <c r="D300" s="31">
        <f t="shared" si="306"/>
        <v>28856.18522</v>
      </c>
      <c r="E300" s="31">
        <f t="shared" si="307"/>
        <v>10457.94632</v>
      </c>
      <c r="F300" s="31">
        <f t="shared" si="308"/>
        <v>93927.85122</v>
      </c>
      <c r="G300" s="31">
        <f t="shared" si="309"/>
        <v>20334.89562</v>
      </c>
      <c r="H300" s="31">
        <f t="shared" si="310"/>
        <v>6875.131378</v>
      </c>
      <c r="I300" s="31">
        <f t="shared" si="311"/>
        <v>4260.644798</v>
      </c>
      <c r="J300" s="31">
        <f t="shared" si="312"/>
        <v>387.3313452</v>
      </c>
      <c r="K300" s="31">
        <f t="shared" si="313"/>
        <v>520282.8295</v>
      </c>
      <c r="L300" s="31">
        <f t="shared" si="314"/>
        <v>21787.38817</v>
      </c>
      <c r="M300" s="31">
        <f t="shared" si="315"/>
        <v>58874.36448</v>
      </c>
      <c r="N300" s="31">
        <f t="shared" si="316"/>
        <v>6487.800033</v>
      </c>
      <c r="O300" s="31">
        <f t="shared" si="317"/>
        <v>21593.7225</v>
      </c>
      <c r="P300" s="31">
        <f t="shared" si="318"/>
        <v>11813.60603</v>
      </c>
      <c r="Q300" s="31">
        <f t="shared" si="319"/>
        <v>387.3313452</v>
      </c>
      <c r="R300" s="31" t="str">
        <f t="shared" si="320"/>
        <v/>
      </c>
      <c r="S300" s="31" t="str">
        <f t="shared" si="321"/>
        <v/>
      </c>
      <c r="T300" s="31" t="str">
        <f t="shared" si="322"/>
        <v/>
      </c>
      <c r="U300" s="31" t="str">
        <f t="shared" si="323"/>
        <v/>
      </c>
      <c r="V300" s="31" t="str">
        <f t="shared" si="324"/>
        <v/>
      </c>
      <c r="W300" s="47">
        <f t="shared" si="325"/>
        <v>968522.0288</v>
      </c>
    </row>
    <row r="301" ht="15.75" customHeight="1">
      <c r="A301" s="46">
        <f t="shared" si="303"/>
        <v>2041</v>
      </c>
      <c r="B301" s="47">
        <f t="shared" si="304"/>
        <v>987754.475</v>
      </c>
      <c r="C301" s="31">
        <f t="shared" si="305"/>
        <v>165415.7914</v>
      </c>
      <c r="D301" s="31">
        <f t="shared" si="306"/>
        <v>29429.19752</v>
      </c>
      <c r="E301" s="31">
        <f t="shared" si="307"/>
        <v>10665.61521</v>
      </c>
      <c r="F301" s="31">
        <f t="shared" si="308"/>
        <v>95793.02547</v>
      </c>
      <c r="G301" s="31">
        <f t="shared" si="309"/>
        <v>20738.69624</v>
      </c>
      <c r="H301" s="31">
        <f t="shared" si="310"/>
        <v>7011.654442</v>
      </c>
      <c r="I301" s="31">
        <f t="shared" si="311"/>
        <v>4345.25064</v>
      </c>
      <c r="J301" s="31">
        <f t="shared" si="312"/>
        <v>395.0227855</v>
      </c>
      <c r="K301" s="31">
        <f t="shared" si="313"/>
        <v>530614.3566</v>
      </c>
      <c r="L301" s="31">
        <f t="shared" si="314"/>
        <v>22220.03168</v>
      </c>
      <c r="M301" s="31">
        <f t="shared" si="315"/>
        <v>60043.46339</v>
      </c>
      <c r="N301" s="31">
        <f t="shared" si="316"/>
        <v>6616.631656</v>
      </c>
      <c r="O301" s="31">
        <f t="shared" si="317"/>
        <v>22022.52029</v>
      </c>
      <c r="P301" s="31">
        <f t="shared" si="318"/>
        <v>12048.19496</v>
      </c>
      <c r="Q301" s="31">
        <f t="shared" si="319"/>
        <v>395.0227855</v>
      </c>
      <c r="R301" s="31" t="str">
        <f t="shared" si="320"/>
        <v/>
      </c>
      <c r="S301" s="31" t="str">
        <f t="shared" si="321"/>
        <v/>
      </c>
      <c r="T301" s="31" t="str">
        <f t="shared" si="322"/>
        <v/>
      </c>
      <c r="U301" s="31" t="str">
        <f t="shared" si="323"/>
        <v/>
      </c>
      <c r="V301" s="31" t="str">
        <f t="shared" si="324"/>
        <v/>
      </c>
      <c r="W301" s="47">
        <f t="shared" si="325"/>
        <v>987754.475</v>
      </c>
    </row>
    <row r="302" ht="15.75" customHeight="1">
      <c r="A302" s="46">
        <f t="shared" si="303"/>
        <v>2042</v>
      </c>
      <c r="B302" s="47">
        <f t="shared" si="304"/>
        <v>1007289.133</v>
      </c>
      <c r="C302" s="31">
        <f t="shared" si="305"/>
        <v>168687.1923</v>
      </c>
      <c r="D302" s="31">
        <f t="shared" si="306"/>
        <v>30011.21391</v>
      </c>
      <c r="E302" s="31">
        <f t="shared" si="307"/>
        <v>10876.54732</v>
      </c>
      <c r="F302" s="31">
        <f t="shared" si="308"/>
        <v>97687.50837</v>
      </c>
      <c r="G302" s="31">
        <f t="shared" si="309"/>
        <v>21148.84202</v>
      </c>
      <c r="H302" s="31">
        <f t="shared" si="310"/>
        <v>7150.322778</v>
      </c>
      <c r="I302" s="31">
        <f t="shared" si="311"/>
        <v>4431.185947</v>
      </c>
      <c r="J302" s="31">
        <f t="shared" si="312"/>
        <v>402.8350861</v>
      </c>
      <c r="K302" s="31">
        <f t="shared" si="313"/>
        <v>541108.2294</v>
      </c>
      <c r="L302" s="31">
        <f t="shared" si="314"/>
        <v>22659.47359</v>
      </c>
      <c r="M302" s="31">
        <f t="shared" si="315"/>
        <v>61230.93308</v>
      </c>
      <c r="N302" s="31">
        <f t="shared" si="316"/>
        <v>6747.487692</v>
      </c>
      <c r="O302" s="31">
        <f t="shared" si="317"/>
        <v>22458.05605</v>
      </c>
      <c r="P302" s="31">
        <f t="shared" si="318"/>
        <v>12286.47013</v>
      </c>
      <c r="Q302" s="31">
        <f t="shared" si="319"/>
        <v>402.8350861</v>
      </c>
      <c r="R302" s="31" t="str">
        <f t="shared" si="320"/>
        <v/>
      </c>
      <c r="S302" s="31" t="str">
        <f t="shared" si="321"/>
        <v/>
      </c>
      <c r="T302" s="31" t="str">
        <f t="shared" si="322"/>
        <v/>
      </c>
      <c r="U302" s="31" t="str">
        <f t="shared" si="323"/>
        <v/>
      </c>
      <c r="V302" s="31" t="str">
        <f t="shared" si="324"/>
        <v/>
      </c>
      <c r="W302" s="47">
        <f t="shared" si="325"/>
        <v>1007289.133</v>
      </c>
    </row>
    <row r="303" ht="15.75" customHeight="1">
      <c r="A303" s="46">
        <f t="shared" si="303"/>
        <v>2043</v>
      </c>
      <c r="B303" s="47">
        <f t="shared" si="304"/>
        <v>1027134.099</v>
      </c>
      <c r="C303" s="31">
        <f t="shared" si="305"/>
        <v>172010.5595</v>
      </c>
      <c r="D303" s="31">
        <f t="shared" si="306"/>
        <v>30602.47566</v>
      </c>
      <c r="E303" s="31">
        <f t="shared" si="307"/>
        <v>11090.83011</v>
      </c>
      <c r="F303" s="31">
        <f t="shared" si="308"/>
        <v>99612.08521</v>
      </c>
      <c r="G303" s="31">
        <f t="shared" si="309"/>
        <v>21565.50298</v>
      </c>
      <c r="H303" s="31">
        <f t="shared" si="310"/>
        <v>7291.193866</v>
      </c>
      <c r="I303" s="31">
        <f t="shared" si="311"/>
        <v>4518.48634</v>
      </c>
      <c r="J303" s="31">
        <f t="shared" si="312"/>
        <v>410.7714854</v>
      </c>
      <c r="K303" s="31">
        <f t="shared" si="313"/>
        <v>551768.7978</v>
      </c>
      <c r="L303" s="31">
        <f t="shared" si="314"/>
        <v>23105.89605</v>
      </c>
      <c r="M303" s="31">
        <f t="shared" si="315"/>
        <v>62437.26578</v>
      </c>
      <c r="N303" s="31">
        <f t="shared" si="316"/>
        <v>6880.422381</v>
      </c>
      <c r="O303" s="31">
        <f t="shared" si="317"/>
        <v>22900.51031</v>
      </c>
      <c r="P303" s="31">
        <f t="shared" si="318"/>
        <v>12528.53031</v>
      </c>
      <c r="Q303" s="31">
        <f t="shared" si="319"/>
        <v>410.7714854</v>
      </c>
      <c r="R303" s="31" t="str">
        <f t="shared" si="320"/>
        <v/>
      </c>
      <c r="S303" s="31" t="str">
        <f t="shared" si="321"/>
        <v/>
      </c>
      <c r="T303" s="31" t="str">
        <f t="shared" si="322"/>
        <v/>
      </c>
      <c r="U303" s="31" t="str">
        <f t="shared" si="323"/>
        <v/>
      </c>
      <c r="V303" s="31" t="str">
        <f t="shared" si="324"/>
        <v/>
      </c>
      <c r="W303" s="47">
        <f t="shared" si="325"/>
        <v>1027134.099</v>
      </c>
    </row>
    <row r="304" ht="15.75" customHeight="1">
      <c r="A304" s="46">
        <f t="shared" si="303"/>
        <v>2044</v>
      </c>
      <c r="B304" s="47">
        <f t="shared" si="304"/>
        <v>1047297.696</v>
      </c>
      <c r="C304" s="31">
        <f t="shared" si="305"/>
        <v>175387.2867</v>
      </c>
      <c r="D304" s="31">
        <f t="shared" si="306"/>
        <v>31203.2307</v>
      </c>
      <c r="E304" s="31">
        <f t="shared" si="307"/>
        <v>11308.55341</v>
      </c>
      <c r="F304" s="31">
        <f t="shared" si="308"/>
        <v>101567.563</v>
      </c>
      <c r="G304" s="31">
        <f t="shared" si="309"/>
        <v>21988.85385</v>
      </c>
      <c r="H304" s="31">
        <f t="shared" si="310"/>
        <v>7434.326778</v>
      </c>
      <c r="I304" s="31">
        <f t="shared" si="311"/>
        <v>4607.188426</v>
      </c>
      <c r="J304" s="31">
        <f t="shared" si="312"/>
        <v>418.8353114</v>
      </c>
      <c r="K304" s="31">
        <f t="shared" si="313"/>
        <v>562600.5321</v>
      </c>
      <c r="L304" s="31">
        <f t="shared" si="314"/>
        <v>23559.48627</v>
      </c>
      <c r="M304" s="31">
        <f t="shared" si="315"/>
        <v>63662.96734</v>
      </c>
      <c r="N304" s="31">
        <f t="shared" si="316"/>
        <v>7015.491466</v>
      </c>
      <c r="O304" s="31">
        <f t="shared" si="317"/>
        <v>23350.06861</v>
      </c>
      <c r="P304" s="31">
        <f t="shared" si="318"/>
        <v>12774.477</v>
      </c>
      <c r="Q304" s="31">
        <f t="shared" si="319"/>
        <v>418.8353114</v>
      </c>
      <c r="R304" s="31" t="str">
        <f t="shared" si="320"/>
        <v/>
      </c>
      <c r="S304" s="31" t="str">
        <f t="shared" si="321"/>
        <v/>
      </c>
      <c r="T304" s="31" t="str">
        <f t="shared" si="322"/>
        <v/>
      </c>
      <c r="U304" s="31" t="str">
        <f t="shared" si="323"/>
        <v/>
      </c>
      <c r="V304" s="31" t="str">
        <f t="shared" si="324"/>
        <v/>
      </c>
      <c r="W304" s="47">
        <f t="shared" si="325"/>
        <v>1047297.696</v>
      </c>
    </row>
    <row r="305" ht="15.75" customHeight="1">
      <c r="A305" s="46">
        <f t="shared" si="303"/>
        <v>2045</v>
      </c>
      <c r="B305" s="47">
        <f t="shared" si="304"/>
        <v>1067788.476</v>
      </c>
      <c r="C305" s="31">
        <f t="shared" si="305"/>
        <v>178818.8059</v>
      </c>
      <c r="D305" s="31">
        <f t="shared" si="306"/>
        <v>31813.73383</v>
      </c>
      <c r="E305" s="31">
        <f t="shared" si="307"/>
        <v>11529.80958</v>
      </c>
      <c r="F305" s="31">
        <f t="shared" si="308"/>
        <v>103554.7712</v>
      </c>
      <c r="G305" s="31">
        <f t="shared" si="309"/>
        <v>22419.07417</v>
      </c>
      <c r="H305" s="31">
        <f t="shared" si="310"/>
        <v>7579.782221</v>
      </c>
      <c r="I305" s="31">
        <f t="shared" si="311"/>
        <v>4697.329827</v>
      </c>
      <c r="J305" s="31">
        <f t="shared" si="312"/>
        <v>427.0299843</v>
      </c>
      <c r="K305" s="31">
        <f t="shared" si="313"/>
        <v>573608.0264</v>
      </c>
      <c r="L305" s="31">
        <f t="shared" si="314"/>
        <v>24020.43661</v>
      </c>
      <c r="M305" s="31">
        <f t="shared" si="315"/>
        <v>64908.55761</v>
      </c>
      <c r="N305" s="31">
        <f t="shared" si="316"/>
        <v>7152.752236</v>
      </c>
      <c r="O305" s="31">
        <f t="shared" si="317"/>
        <v>23806.92162</v>
      </c>
      <c r="P305" s="31">
        <f t="shared" si="318"/>
        <v>13024.41452</v>
      </c>
      <c r="Q305" s="31">
        <f t="shared" si="319"/>
        <v>427.0299843</v>
      </c>
      <c r="R305" s="31" t="str">
        <f t="shared" si="320"/>
        <v/>
      </c>
      <c r="S305" s="31" t="str">
        <f t="shared" si="321"/>
        <v/>
      </c>
      <c r="T305" s="31" t="str">
        <f t="shared" si="322"/>
        <v/>
      </c>
      <c r="U305" s="31" t="str">
        <f t="shared" si="323"/>
        <v/>
      </c>
      <c r="V305" s="31" t="str">
        <f t="shared" si="324"/>
        <v/>
      </c>
      <c r="W305" s="47">
        <f t="shared" si="325"/>
        <v>1067788.476</v>
      </c>
    </row>
    <row r="306" ht="15.75" customHeight="1">
      <c r="A306" s="46">
        <f t="shared" si="303"/>
        <v>2046</v>
      </c>
      <c r="B306" s="47">
        <f t="shared" si="304"/>
        <v>1088615.227</v>
      </c>
      <c r="C306" s="31">
        <f t="shared" si="305"/>
        <v>182306.5892</v>
      </c>
      <c r="D306" s="31">
        <f t="shared" si="306"/>
        <v>32434.24691</v>
      </c>
      <c r="E306" s="31">
        <f t="shared" si="307"/>
        <v>11754.69351</v>
      </c>
      <c r="F306" s="31">
        <f t="shared" si="308"/>
        <v>105574.5621</v>
      </c>
      <c r="G306" s="31">
        <f t="shared" si="309"/>
        <v>22856.34849</v>
      </c>
      <c r="H306" s="31">
        <f t="shared" si="310"/>
        <v>7727.622586</v>
      </c>
      <c r="I306" s="31">
        <f t="shared" si="311"/>
        <v>4788.949208</v>
      </c>
      <c r="J306" s="31">
        <f t="shared" si="312"/>
        <v>435.3590189</v>
      </c>
      <c r="K306" s="31">
        <f t="shared" si="313"/>
        <v>584796.0021</v>
      </c>
      <c r="L306" s="31">
        <f t="shared" si="314"/>
        <v>24488.94481</v>
      </c>
      <c r="M306" s="31">
        <f t="shared" si="315"/>
        <v>66174.57087</v>
      </c>
      <c r="N306" s="31">
        <f t="shared" si="316"/>
        <v>7292.263567</v>
      </c>
      <c r="O306" s="31">
        <f t="shared" si="317"/>
        <v>24271.2653</v>
      </c>
      <c r="P306" s="31">
        <f t="shared" si="318"/>
        <v>13278.45008</v>
      </c>
      <c r="Q306" s="31">
        <f t="shared" si="319"/>
        <v>435.3590189</v>
      </c>
      <c r="R306" s="31" t="str">
        <f t="shared" si="320"/>
        <v/>
      </c>
      <c r="S306" s="31" t="str">
        <f t="shared" si="321"/>
        <v/>
      </c>
      <c r="T306" s="31" t="str">
        <f t="shared" si="322"/>
        <v/>
      </c>
      <c r="U306" s="31" t="str">
        <f t="shared" si="323"/>
        <v/>
      </c>
      <c r="V306" s="31" t="str">
        <f t="shared" si="324"/>
        <v/>
      </c>
      <c r="W306" s="47">
        <f t="shared" si="325"/>
        <v>1088615.227</v>
      </c>
    </row>
    <row r="307" ht="15.75" customHeight="1">
      <c r="A307" s="46">
        <f t="shared" si="303"/>
        <v>2047</v>
      </c>
      <c r="B307" s="47">
        <f t="shared" si="304"/>
        <v>1109786.983</v>
      </c>
      <c r="C307" s="31">
        <f t="shared" si="305"/>
        <v>185852.1492</v>
      </c>
      <c r="D307" s="31">
        <f t="shared" si="306"/>
        <v>33065.03907</v>
      </c>
      <c r="E307" s="31">
        <f t="shared" si="307"/>
        <v>11983.30275</v>
      </c>
      <c r="F307" s="31">
        <f t="shared" si="308"/>
        <v>107627.8117</v>
      </c>
      <c r="G307" s="31">
        <f t="shared" si="309"/>
        <v>23300.86646</v>
      </c>
      <c r="H307" s="31">
        <f t="shared" si="310"/>
        <v>7877.911994</v>
      </c>
      <c r="I307" s="31">
        <f t="shared" si="311"/>
        <v>4882.086306</v>
      </c>
      <c r="J307" s="31">
        <f t="shared" si="312"/>
        <v>443.8260278</v>
      </c>
      <c r="K307" s="31">
        <f t="shared" si="313"/>
        <v>596169.3119</v>
      </c>
      <c r="L307" s="31">
        <f t="shared" si="314"/>
        <v>24965.21407</v>
      </c>
      <c r="M307" s="31">
        <f t="shared" si="315"/>
        <v>67461.55623</v>
      </c>
      <c r="N307" s="31">
        <f t="shared" si="316"/>
        <v>7434.085966</v>
      </c>
      <c r="O307" s="31">
        <f t="shared" si="317"/>
        <v>24743.30105</v>
      </c>
      <c r="P307" s="31">
        <f t="shared" si="318"/>
        <v>13536.69385</v>
      </c>
      <c r="Q307" s="31">
        <f t="shared" si="319"/>
        <v>443.8260278</v>
      </c>
      <c r="R307" s="31" t="str">
        <f t="shared" si="320"/>
        <v/>
      </c>
      <c r="S307" s="31" t="str">
        <f t="shared" si="321"/>
        <v/>
      </c>
      <c r="T307" s="31" t="str">
        <f t="shared" si="322"/>
        <v/>
      </c>
      <c r="U307" s="31" t="str">
        <f t="shared" si="323"/>
        <v/>
      </c>
      <c r="V307" s="31" t="str">
        <f t="shared" si="324"/>
        <v/>
      </c>
      <c r="W307" s="47">
        <f t="shared" si="325"/>
        <v>1109786.983</v>
      </c>
    </row>
    <row r="308" ht="15.75" customHeight="1">
      <c r="A308" s="46">
        <f t="shared" si="303"/>
        <v>2048</v>
      </c>
      <c r="B308" s="47">
        <f t="shared" si="304"/>
        <v>1131313.027</v>
      </c>
      <c r="C308" s="31">
        <f t="shared" si="305"/>
        <v>189457.0406</v>
      </c>
      <c r="D308" s="31">
        <f t="shared" si="306"/>
        <v>33706.38692</v>
      </c>
      <c r="E308" s="31">
        <f t="shared" si="307"/>
        <v>12215.73754</v>
      </c>
      <c r="F308" s="31">
        <f t="shared" si="308"/>
        <v>109715.4205</v>
      </c>
      <c r="G308" s="31">
        <f t="shared" si="309"/>
        <v>23752.823</v>
      </c>
      <c r="H308" s="31">
        <f t="shared" si="310"/>
        <v>8030.716348</v>
      </c>
      <c r="I308" s="31">
        <f t="shared" si="311"/>
        <v>4976.781962</v>
      </c>
      <c r="J308" s="31">
        <f t="shared" si="312"/>
        <v>452.4347238</v>
      </c>
      <c r="K308" s="31">
        <f t="shared" si="313"/>
        <v>607732.9428</v>
      </c>
      <c r="L308" s="31">
        <f t="shared" si="314"/>
        <v>25449.45321</v>
      </c>
      <c r="M308" s="31">
        <f t="shared" si="315"/>
        <v>68770.07802</v>
      </c>
      <c r="N308" s="31">
        <f t="shared" si="316"/>
        <v>7578.281624</v>
      </c>
      <c r="O308" s="31">
        <f t="shared" si="317"/>
        <v>25223.23585</v>
      </c>
      <c r="P308" s="31">
        <f t="shared" si="318"/>
        <v>13799.25908</v>
      </c>
      <c r="Q308" s="31">
        <f t="shared" si="319"/>
        <v>452.4347238</v>
      </c>
      <c r="R308" s="31" t="str">
        <f t="shared" si="320"/>
        <v/>
      </c>
      <c r="S308" s="31" t="str">
        <f t="shared" si="321"/>
        <v/>
      </c>
      <c r="T308" s="31" t="str">
        <f t="shared" si="322"/>
        <v/>
      </c>
      <c r="U308" s="31" t="str">
        <f t="shared" si="323"/>
        <v/>
      </c>
      <c r="V308" s="31" t="str">
        <f t="shared" si="324"/>
        <v/>
      </c>
      <c r="W308" s="47">
        <f t="shared" si="325"/>
        <v>1131313.027</v>
      </c>
    </row>
    <row r="309" ht="15.75" customHeight="1">
      <c r="A309" s="46">
        <f t="shared" si="303"/>
        <v>2049</v>
      </c>
      <c r="B309" s="47">
        <f t="shared" si="304"/>
        <v>1153202.901</v>
      </c>
      <c r="C309" s="31">
        <f t="shared" si="305"/>
        <v>193122.8614</v>
      </c>
      <c r="D309" s="31">
        <f t="shared" si="306"/>
        <v>34358.57475</v>
      </c>
      <c r="E309" s="31">
        <f t="shared" si="307"/>
        <v>12452.10091</v>
      </c>
      <c r="F309" s="31">
        <f t="shared" si="308"/>
        <v>111838.3138</v>
      </c>
      <c r="G309" s="31">
        <f t="shared" si="309"/>
        <v>24212.41844</v>
      </c>
      <c r="H309" s="31">
        <f t="shared" si="310"/>
        <v>8186.103379</v>
      </c>
      <c r="I309" s="31">
        <f t="shared" si="311"/>
        <v>5073.07815</v>
      </c>
      <c r="J309" s="31">
        <f t="shared" si="312"/>
        <v>461.1889228</v>
      </c>
      <c r="K309" s="31">
        <f t="shared" si="313"/>
        <v>619492.0205</v>
      </c>
      <c r="L309" s="31">
        <f t="shared" si="314"/>
        <v>25941.87691</v>
      </c>
      <c r="M309" s="31">
        <f t="shared" si="315"/>
        <v>70100.71626</v>
      </c>
      <c r="N309" s="31">
        <f t="shared" si="316"/>
        <v>7724.914456</v>
      </c>
      <c r="O309" s="31">
        <f t="shared" si="317"/>
        <v>25711.28244</v>
      </c>
      <c r="P309" s="31">
        <f t="shared" si="318"/>
        <v>14066.26214</v>
      </c>
      <c r="Q309" s="31">
        <f t="shared" si="319"/>
        <v>461.1889228</v>
      </c>
      <c r="R309" s="31" t="str">
        <f t="shared" si="320"/>
        <v/>
      </c>
      <c r="S309" s="31" t="str">
        <f t="shared" si="321"/>
        <v/>
      </c>
      <c r="T309" s="31" t="str">
        <f t="shared" si="322"/>
        <v/>
      </c>
      <c r="U309" s="31" t="str">
        <f t="shared" si="323"/>
        <v/>
      </c>
      <c r="V309" s="31" t="str">
        <f t="shared" si="324"/>
        <v/>
      </c>
      <c r="W309" s="47">
        <f t="shared" si="325"/>
        <v>1153202.901</v>
      </c>
    </row>
    <row r="310" ht="15.75" customHeight="1">
      <c r="A310" s="46">
        <f t="shared" si="303"/>
        <v>2050</v>
      </c>
      <c r="B310" s="47">
        <f t="shared" si="304"/>
        <v>1175466.413</v>
      </c>
      <c r="C310" s="31">
        <f t="shared" si="305"/>
        <v>196851.2539</v>
      </c>
      <c r="D310" s="31">
        <f t="shared" si="306"/>
        <v>35021.89472</v>
      </c>
      <c r="E310" s="31">
        <f t="shared" si="307"/>
        <v>12692.49876</v>
      </c>
      <c r="F310" s="31">
        <f t="shared" si="308"/>
        <v>113997.4426</v>
      </c>
      <c r="G310" s="31">
        <f t="shared" si="309"/>
        <v>24679.8587</v>
      </c>
      <c r="H310" s="31">
        <f t="shared" si="310"/>
        <v>8344.142702</v>
      </c>
      <c r="I310" s="31">
        <f t="shared" si="311"/>
        <v>5171.018013</v>
      </c>
      <c r="J310" s="31">
        <f t="shared" si="312"/>
        <v>470.0925466</v>
      </c>
      <c r="K310" s="31">
        <f t="shared" si="313"/>
        <v>631451.8132</v>
      </c>
      <c r="L310" s="31">
        <f t="shared" si="314"/>
        <v>26442.70575</v>
      </c>
      <c r="M310" s="31">
        <f t="shared" si="315"/>
        <v>71454.06708</v>
      </c>
      <c r="N310" s="31">
        <f t="shared" si="316"/>
        <v>7874.050156</v>
      </c>
      <c r="O310" s="31">
        <f t="shared" si="317"/>
        <v>26207.65947</v>
      </c>
      <c r="P310" s="31">
        <f t="shared" si="318"/>
        <v>14337.82267</v>
      </c>
      <c r="Q310" s="31">
        <f t="shared" si="319"/>
        <v>470.0925466</v>
      </c>
      <c r="R310" s="31" t="str">
        <f t="shared" si="320"/>
        <v/>
      </c>
      <c r="S310" s="31" t="str">
        <f t="shared" si="321"/>
        <v/>
      </c>
      <c r="T310" s="31" t="str">
        <f t="shared" si="322"/>
        <v/>
      </c>
      <c r="U310" s="31" t="str">
        <f t="shared" si="323"/>
        <v/>
      </c>
      <c r="V310" s="31" t="str">
        <f t="shared" si="324"/>
        <v/>
      </c>
      <c r="W310" s="47">
        <f t="shared" si="325"/>
        <v>1175466.413</v>
      </c>
    </row>
    <row r="311" ht="15.75" customHeight="1">
      <c r="A311" s="46">
        <f t="shared" si="303"/>
        <v>2051</v>
      </c>
      <c r="B311" s="47">
        <f t="shared" si="304"/>
        <v>1198113.641</v>
      </c>
      <c r="C311" s="31">
        <f t="shared" si="305"/>
        <v>200643.906</v>
      </c>
      <c r="D311" s="31">
        <f t="shared" si="306"/>
        <v>35696.64717</v>
      </c>
      <c r="E311" s="31">
        <f t="shared" si="307"/>
        <v>12937.03991</v>
      </c>
      <c r="F311" s="31">
        <f t="shared" si="308"/>
        <v>116193.7844</v>
      </c>
      <c r="G311" s="31">
        <f t="shared" si="309"/>
        <v>25155.35539</v>
      </c>
      <c r="H311" s="31">
        <f t="shared" si="310"/>
        <v>8504.905868</v>
      </c>
      <c r="I311" s="31">
        <f t="shared" si="311"/>
        <v>5270.64589</v>
      </c>
      <c r="J311" s="31">
        <f t="shared" si="312"/>
        <v>479.1496264</v>
      </c>
      <c r="K311" s="31">
        <f t="shared" si="313"/>
        <v>643617.7356</v>
      </c>
      <c r="L311" s="31">
        <f t="shared" si="314"/>
        <v>26952.16648</v>
      </c>
      <c r="M311" s="31">
        <f t="shared" si="315"/>
        <v>72830.74321</v>
      </c>
      <c r="N311" s="31">
        <f t="shared" si="316"/>
        <v>8025.756242</v>
      </c>
      <c r="O311" s="31">
        <f t="shared" si="317"/>
        <v>26712.59167</v>
      </c>
      <c r="P311" s="31">
        <f t="shared" si="318"/>
        <v>14614.0636</v>
      </c>
      <c r="Q311" s="31">
        <f t="shared" si="319"/>
        <v>479.1496264</v>
      </c>
      <c r="R311" s="31" t="str">
        <f t="shared" si="320"/>
        <v/>
      </c>
      <c r="S311" s="31" t="str">
        <f t="shared" si="321"/>
        <v/>
      </c>
      <c r="T311" s="31" t="str">
        <f t="shared" si="322"/>
        <v/>
      </c>
      <c r="U311" s="31" t="str">
        <f t="shared" si="323"/>
        <v/>
      </c>
      <c r="V311" s="31" t="str">
        <f t="shared" si="324"/>
        <v/>
      </c>
      <c r="W311" s="47">
        <f t="shared" si="325"/>
        <v>1198113.641</v>
      </c>
    </row>
    <row r="312" ht="15.75" customHeight="1">
      <c r="A312" s="46">
        <f t="shared" si="303"/>
        <v>2052</v>
      </c>
      <c r="B312" s="47">
        <f t="shared" si="304"/>
        <v>1221154.945</v>
      </c>
      <c r="C312" s="31">
        <f t="shared" si="305"/>
        <v>204502.5529</v>
      </c>
      <c r="D312" s="31">
        <f t="shared" si="306"/>
        <v>36383.14075</v>
      </c>
      <c r="E312" s="31">
        <f t="shared" si="307"/>
        <v>13185.83624</v>
      </c>
      <c r="F312" s="31">
        <f t="shared" si="308"/>
        <v>118428.344</v>
      </c>
      <c r="G312" s="31">
        <f t="shared" si="309"/>
        <v>25639.12603</v>
      </c>
      <c r="H312" s="31">
        <f t="shared" si="310"/>
        <v>8668.46642</v>
      </c>
      <c r="I312" s="31">
        <f t="shared" si="311"/>
        <v>5372.007359</v>
      </c>
      <c r="J312" s="31">
        <f t="shared" si="312"/>
        <v>488.3643053</v>
      </c>
      <c r="K312" s="31">
        <f t="shared" si="313"/>
        <v>655995.3531</v>
      </c>
      <c r="L312" s="31">
        <f t="shared" si="314"/>
        <v>27470.49217</v>
      </c>
      <c r="M312" s="31">
        <f t="shared" si="315"/>
        <v>74231.37441</v>
      </c>
      <c r="N312" s="31">
        <f t="shared" si="316"/>
        <v>8180.102114</v>
      </c>
      <c r="O312" s="31">
        <f t="shared" si="317"/>
        <v>27226.31002</v>
      </c>
      <c r="P312" s="31">
        <f t="shared" si="318"/>
        <v>14895.11131</v>
      </c>
      <c r="Q312" s="31">
        <f t="shared" si="319"/>
        <v>488.3643053</v>
      </c>
      <c r="R312" s="31" t="str">
        <f t="shared" si="320"/>
        <v/>
      </c>
      <c r="S312" s="31" t="str">
        <f t="shared" si="321"/>
        <v/>
      </c>
      <c r="T312" s="31" t="str">
        <f t="shared" si="322"/>
        <v/>
      </c>
      <c r="U312" s="31" t="str">
        <f t="shared" si="323"/>
        <v/>
      </c>
      <c r="V312" s="31" t="str">
        <f t="shared" si="324"/>
        <v/>
      </c>
      <c r="W312" s="47">
        <f t="shared" si="325"/>
        <v>1221154.945</v>
      </c>
    </row>
    <row r="313" ht="15.75" customHeight="1">
      <c r="A313" s="46">
        <f t="shared" si="303"/>
        <v>2053</v>
      </c>
      <c r="B313" s="47">
        <f t="shared" si="304"/>
        <v>1244600.976</v>
      </c>
      <c r="C313" s="31">
        <f t="shared" si="305"/>
        <v>208428.9776</v>
      </c>
      <c r="D313" s="31">
        <f t="shared" si="306"/>
        <v>37081.69273</v>
      </c>
      <c r="E313" s="31">
        <f t="shared" si="307"/>
        <v>13439.00274</v>
      </c>
      <c r="F313" s="31">
        <f t="shared" si="308"/>
        <v>120702.1542</v>
      </c>
      <c r="G313" s="31">
        <f t="shared" si="309"/>
        <v>26131.39421</v>
      </c>
      <c r="H313" s="31">
        <f t="shared" si="310"/>
        <v>8834.899946</v>
      </c>
      <c r="I313" s="31">
        <f t="shared" si="311"/>
        <v>5475.149262</v>
      </c>
      <c r="J313" s="31">
        <f t="shared" si="312"/>
        <v>497.740842</v>
      </c>
      <c r="K313" s="31">
        <f t="shared" si="313"/>
        <v>668590.3861</v>
      </c>
      <c r="L313" s="31">
        <f t="shared" si="314"/>
        <v>27997.92236</v>
      </c>
      <c r="M313" s="31">
        <f t="shared" si="315"/>
        <v>75656.60799</v>
      </c>
      <c r="N313" s="31">
        <f t="shared" si="316"/>
        <v>8337.159104</v>
      </c>
      <c r="O313" s="31">
        <f t="shared" si="317"/>
        <v>27749.05194</v>
      </c>
      <c r="P313" s="31">
        <f t="shared" si="318"/>
        <v>15181.09568</v>
      </c>
      <c r="Q313" s="31">
        <f t="shared" si="319"/>
        <v>497.740842</v>
      </c>
      <c r="R313" s="31" t="str">
        <f t="shared" si="320"/>
        <v/>
      </c>
      <c r="S313" s="31" t="str">
        <f t="shared" si="321"/>
        <v/>
      </c>
      <c r="T313" s="31" t="str">
        <f t="shared" si="322"/>
        <v/>
      </c>
      <c r="U313" s="31" t="str">
        <f t="shared" si="323"/>
        <v/>
      </c>
      <c r="V313" s="31" t="str">
        <f t="shared" si="324"/>
        <v/>
      </c>
      <c r="W313" s="47">
        <f t="shared" si="325"/>
        <v>1244600.976</v>
      </c>
    </row>
    <row r="314" ht="15.75" customHeight="1">
      <c r="A314" s="46">
        <f t="shared" si="303"/>
        <v>2054</v>
      </c>
      <c r="B314" s="47">
        <f t="shared" si="304"/>
        <v>1268462.676</v>
      </c>
      <c r="C314" s="31">
        <f t="shared" si="305"/>
        <v>212425.0133</v>
      </c>
      <c r="D314" s="31">
        <f t="shared" si="306"/>
        <v>37792.62923</v>
      </c>
      <c r="E314" s="31">
        <f t="shared" si="307"/>
        <v>13696.65757</v>
      </c>
      <c r="F314" s="31">
        <f t="shared" si="308"/>
        <v>123016.2763</v>
      </c>
      <c r="G314" s="31">
        <f t="shared" si="309"/>
        <v>26632.38972</v>
      </c>
      <c r="H314" s="31">
        <f t="shared" si="310"/>
        <v>9004.284145</v>
      </c>
      <c r="I314" s="31">
        <f t="shared" si="311"/>
        <v>5580.119752</v>
      </c>
      <c r="J314" s="31">
        <f t="shared" si="312"/>
        <v>507.2836138</v>
      </c>
      <c r="K314" s="31">
        <f t="shared" si="313"/>
        <v>681408.7142</v>
      </c>
      <c r="L314" s="31">
        <f t="shared" si="314"/>
        <v>28534.70328</v>
      </c>
      <c r="M314" s="31">
        <f t="shared" si="315"/>
        <v>77107.10929</v>
      </c>
      <c r="N314" s="31">
        <f t="shared" si="316"/>
        <v>8497.000531</v>
      </c>
      <c r="O314" s="31">
        <f t="shared" si="317"/>
        <v>28281.06147</v>
      </c>
      <c r="P314" s="31">
        <f t="shared" si="318"/>
        <v>15472.15022</v>
      </c>
      <c r="Q314" s="31">
        <f t="shared" si="319"/>
        <v>507.2836138</v>
      </c>
      <c r="R314" s="31" t="str">
        <f t="shared" si="320"/>
        <v/>
      </c>
      <c r="S314" s="31" t="str">
        <f t="shared" si="321"/>
        <v/>
      </c>
      <c r="T314" s="31" t="str">
        <f t="shared" si="322"/>
        <v/>
      </c>
      <c r="U314" s="31" t="str">
        <f t="shared" si="323"/>
        <v/>
      </c>
      <c r="V314" s="31" t="str">
        <f t="shared" si="324"/>
        <v/>
      </c>
      <c r="W314" s="47">
        <f t="shared" si="325"/>
        <v>1268462.676</v>
      </c>
    </row>
    <row r="315" ht="15.75" customHeight="1">
      <c r="A315" s="50" t="str">
        <f>"Total "&amp;$A$56&amp;"–"&amp;$A$80&amp;" (t)"</f>
        <v>Total 2030–2054 (t)</v>
      </c>
      <c r="B315" s="52">
        <f>SUM(B290:B314)</f>
        <v>25385054.31</v>
      </c>
      <c r="C315" s="52">
        <f t="shared" ref="C315:V315" si="326">IF(C$289="","",SUM(C290:C314))</f>
        <v>4251146.368</v>
      </c>
      <c r="D315" s="52">
        <f t="shared" si="326"/>
        <v>756323.3538</v>
      </c>
      <c r="E315" s="52">
        <f t="shared" si="326"/>
        <v>274103.7658</v>
      </c>
      <c r="F315" s="52">
        <f t="shared" si="326"/>
        <v>2461857.897</v>
      </c>
      <c r="G315" s="52">
        <f t="shared" si="326"/>
        <v>532979.5446</v>
      </c>
      <c r="H315" s="52">
        <f t="shared" si="326"/>
        <v>180197.846</v>
      </c>
      <c r="I315" s="52">
        <f t="shared" si="326"/>
        <v>111671.9046</v>
      </c>
      <c r="J315" s="52">
        <f t="shared" si="326"/>
        <v>10151.99133</v>
      </c>
      <c r="K315" s="52">
        <f t="shared" si="326"/>
        <v>13636662.35</v>
      </c>
      <c r="L315" s="52">
        <f t="shared" si="326"/>
        <v>571049.5121</v>
      </c>
      <c r="M315" s="52">
        <f t="shared" si="326"/>
        <v>1543102.682</v>
      </c>
      <c r="N315" s="52">
        <f t="shared" si="326"/>
        <v>170045.8547</v>
      </c>
      <c r="O315" s="52">
        <f t="shared" si="326"/>
        <v>565973.5164</v>
      </c>
      <c r="P315" s="52">
        <f t="shared" si="326"/>
        <v>309635.7355</v>
      </c>
      <c r="Q315" s="52">
        <f t="shared" si="326"/>
        <v>10151.99133</v>
      </c>
      <c r="R315" s="52" t="str">
        <f t="shared" si="326"/>
        <v/>
      </c>
      <c r="S315" s="52" t="str">
        <f t="shared" si="326"/>
        <v/>
      </c>
      <c r="T315" s="52" t="str">
        <f t="shared" si="326"/>
        <v/>
      </c>
      <c r="U315" s="52" t="str">
        <f t="shared" si="326"/>
        <v/>
      </c>
      <c r="V315" s="52" t="str">
        <f t="shared" si="326"/>
        <v/>
      </c>
      <c r="W315" s="52">
        <f>SUM(W290:W314)</f>
        <v>25385054.31</v>
      </c>
    </row>
    <row r="316" ht="15.75" customHeight="1"/>
    <row r="317" ht="15.75" customHeight="1"/>
    <row r="318" ht="19.5" customHeight="1">
      <c r="A318" s="21" t="s">
        <v>92</v>
      </c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3"/>
      <c r="X318" s="9"/>
      <c r="Y318" s="9"/>
      <c r="Z318" s="9"/>
    </row>
    <row r="319" ht="25.5" customHeight="1">
      <c r="A319" s="53"/>
    </row>
    <row r="320" ht="25.5" customHeight="1">
      <c r="A320" s="66" t="s">
        <v>93</v>
      </c>
    </row>
    <row r="321" ht="25.5" customHeight="1">
      <c r="A321" s="66" t="s">
        <v>94</v>
      </c>
    </row>
    <row r="322" ht="25.5" customHeight="1">
      <c r="A322" s="66" t="s">
        <v>95</v>
      </c>
    </row>
    <row r="323" ht="25.5" customHeight="1">
      <c r="A323" s="66" t="s">
        <v>96</v>
      </c>
    </row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A1:M1"/>
    <mergeCell ref="A5:W5"/>
    <mergeCell ref="D6:K6"/>
    <mergeCell ref="D7:K7"/>
    <mergeCell ref="D8:K8"/>
    <mergeCell ref="D9:K9"/>
    <mergeCell ref="A12:W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A24:W24"/>
    <mergeCell ref="A53:W53"/>
    <mergeCell ref="B54:G54"/>
    <mergeCell ref="H54:M54"/>
    <mergeCell ref="N54:S54"/>
    <mergeCell ref="A84:W84"/>
    <mergeCell ref="A85:M85"/>
    <mergeCell ref="A108:B108"/>
    <mergeCell ref="A111:W111"/>
    <mergeCell ref="B112:G112"/>
    <mergeCell ref="H112:M112"/>
    <mergeCell ref="T112:V112"/>
    <mergeCell ref="A288:W288"/>
    <mergeCell ref="A318:W318"/>
    <mergeCell ref="A319:Q319"/>
    <mergeCell ref="A320:Q320"/>
    <mergeCell ref="A321:Q321"/>
    <mergeCell ref="A322:Q322"/>
    <mergeCell ref="A323:Q323"/>
    <mergeCell ref="N112:S112"/>
    <mergeCell ref="A142:W142"/>
    <mergeCell ref="A143:W143"/>
    <mergeCell ref="A172:W172"/>
    <mergeCell ref="A201:W201"/>
    <mergeCell ref="A230:W230"/>
    <mergeCell ref="A259:W259"/>
  </mergeCells>
  <printOptions/>
  <pageMargins bottom="1.0" footer="0.0" header="0.0" left="0.75" right="0.75" top="1.0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2026-10-19T04:38:15Z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